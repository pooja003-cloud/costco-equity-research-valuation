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istoricals" sheetId="2" state="visible" r:id="rId4"/>
    <sheet name="Assumptions" sheetId="3" state="visible" r:id="rId5"/>
    <sheet name="Forecast" sheetId="4" state="visible" r:id="rId6"/>
    <sheet name="Beta" sheetId="5" state="visible" r:id="rId7"/>
    <sheet name="WACC" sheetId="6" state="visible" r:id="rId8"/>
    <sheet name="DCF" sheetId="7" state="visible" r:id="rId9"/>
    <sheet name="Sensitivity" sheetId="8" state="visible" r:id="rId10"/>
    <sheet name="Comps" sheetId="9" state="visible" r:id="rId11"/>
    <sheet name="Summary" sheetId="10" state="visible" r:id="rId12"/>
    <sheet name="Check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7" authorId="0">
      <text>
        <r>
          <rPr>
            <sz val="10"/>
            <rFont val="Arial"/>
            <family val="2"/>
          </rPr>
          <t xml:space="preserve">XBRL CashAndCashEquivalentsAtCarryingValue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y0zLTEtMS0w_3faf12ee-c97d-4fad-bf90-4228674ac507</t>
        </r>
      </text>
    </comment>
    <comment ref="B28" authorId="0">
      <text>
        <r>
          <rPr>
            <sz val="10"/>
            <rFont val="Arial"/>
            <family val="2"/>
          </rPr>
          <t xml:space="preserve">XBRL ShortTermInvestments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NC0zLTEtMS0w_cd515793-40fd-4383-8a87-4ed94ff4d803</t>
        </r>
      </text>
    </comment>
    <comment ref="B29" authorId="0">
      <text>
        <r>
          <rPr>
            <sz val="10"/>
            <rFont val="Arial"/>
            <family val="2"/>
          </rPr>
          <t xml:space="preserve">XBRL ReceivablesNetCurrent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NS0zLTEtMS0w_5ad4ccc6-d345-4147-8538-b378ec73b242</t>
        </r>
      </text>
    </comment>
    <comment ref="B30" authorId="0">
      <text>
        <r>
          <rPr>
            <sz val="10"/>
            <rFont val="Arial"/>
            <family val="2"/>
          </rPr>
          <t xml:space="preserve">XBRL InventoryNet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Ni0zLTEtMS0w_2b8933d5-f4c8-4d15-a118-664e5020efd9</t>
        </r>
      </text>
    </comment>
    <comment ref="B31" authorId="0">
      <text>
        <r>
          <rPr>
            <sz val="10"/>
            <rFont val="Arial"/>
            <family val="2"/>
          </rPr>
          <t xml:space="preserve">XBRL OtherAssetsCurrent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Ny0zLTEtMS0w_bb16496c-3055-4acb-b967-385e9c90490e</t>
        </r>
      </text>
    </comment>
    <comment ref="B32" authorId="0">
      <text>
        <r>
          <rPr>
            <sz val="10"/>
            <rFont val="Arial"/>
            <family val="2"/>
          </rPr>
          <t xml:space="preserve">XBRL AssetsCurrent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OC0zLTEtMS0w_86196619-b7e9-458b-96b4-b8462e1db633</t>
        </r>
      </text>
    </comment>
    <comment ref="B33" authorId="0">
      <text>
        <r>
          <rPr>
            <sz val="10"/>
            <rFont val="Arial"/>
            <family val="2"/>
          </rPr>
          <t xml:space="preserve">XBRL PropertyPlantAndEquipmentNet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TAtMy0xLTEtMA_2a2fe3b7-62ae-44e4-9dc4-509888f311e1</t>
        </r>
      </text>
    </comment>
    <comment ref="B34" authorId="0">
      <text>
        <r>
          <rPr>
            <sz val="10"/>
            <rFont val="Arial"/>
            <family val="2"/>
          </rPr>
          <t xml:space="preserve">XBRL OperatingLeaseRightOfUseAsset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TEtMy0xLTEtMA_55110187-4e7c-4401-9b1d-19942669cf85</t>
        </r>
      </text>
    </comment>
    <comment ref="B35" authorId="0">
      <text>
        <r>
          <rPr>
            <sz val="10"/>
            <rFont val="Arial"/>
            <family val="2"/>
          </rPr>
          <t xml:space="preserve">XBRL OtherAssetsNoncurrent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TgtMy0xLTEtODAz_88e99d80-fa23-417c-a56c-1c8f7b8fd861</t>
        </r>
      </text>
    </comment>
    <comment ref="B36" authorId="0">
      <text>
        <r>
          <rPr>
            <sz val="10"/>
            <rFont val="Arial"/>
            <family val="2"/>
          </rPr>
          <t xml:space="preserve">XBRL Assets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TgtMy0xLTEtMA_131f2e10-f2c9-4dc7-b3cf-7841483d0d02</t>
        </r>
      </text>
    </comment>
    <comment ref="B37" authorId="0">
      <text>
        <r>
          <rPr>
            <sz val="10"/>
            <rFont val="Arial"/>
            <family val="2"/>
          </rPr>
          <t xml:space="preserve">XBRL AccountsPayableCurrent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jEtMy0xLTEtMA_c60d72b5-f4d0-4128-a8ff-a9ef1b5b2d38</t>
        </r>
      </text>
    </comment>
    <comment ref="B38" authorId="0">
      <text>
        <r>
          <rPr>
            <sz val="10"/>
            <rFont val="Arial"/>
            <family val="2"/>
          </rPr>
          <t xml:space="preserve">XBRL EmployeeRelatedLiabilitiesCurrent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jItMy0xLTEtMA_017e91c1-8ba3-450a-b6e3-6016c4f6123f</t>
        </r>
      </text>
    </comment>
    <comment ref="B39" authorId="0">
      <text>
        <r>
          <rPr>
            <sz val="10"/>
            <rFont val="Arial"/>
            <family val="2"/>
          </rPr>
          <t xml:space="preserve">XBRL CustomerLoyaltyProgramLiabilityCurrent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jMtMy0xLTEtMA_2c0206c1-dfe0-4b6c-b20f-2c3ebd3269e6</t>
        </r>
      </text>
    </comment>
    <comment ref="B40" authorId="0">
      <text>
        <r>
          <rPr>
            <sz val="10"/>
            <rFont val="Arial"/>
            <family val="2"/>
          </rPr>
          <t xml:space="preserve">XBRL DeferredRevenueCurrent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jQtMy0xLTEtMA_ef20d1ac-63b7-4bcb-b0ca-9fbea0579bb3</t>
        </r>
      </text>
    </comment>
    <comment ref="B41" authorId="0">
      <text>
        <r>
          <rPr>
            <sz val="10"/>
            <rFont val="Arial"/>
            <family val="2"/>
          </rPr>
          <t xml:space="preserve">XBRL LongTermDebtCurrent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jUtMy0xLTEtMA_aafa4199-2351-4d06-9dfb-d43b2e51e89f</t>
        </r>
      </text>
    </comment>
    <comment ref="B42" authorId="0">
      <text>
        <r>
          <rPr>
            <sz val="10"/>
            <rFont val="Arial"/>
            <family val="2"/>
          </rPr>
          <t xml:space="preserve">XBRL OtherLiabilitiesCurrent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jYtMy0xLTEtMA_70d72ef2-b0ef-4244-bbc7-e97f6ddc4de0</t>
        </r>
      </text>
    </comment>
    <comment ref="B43" authorId="0">
      <text>
        <r>
          <rPr>
            <sz val="10"/>
            <rFont val="Arial"/>
            <family val="2"/>
          </rPr>
          <t xml:space="preserve">XBRL LiabilitiesCurrent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jctMy0xLTEtMA_0b993a64-fa65-458e-af73-cc95b4ab859e</t>
        </r>
      </text>
    </comment>
    <comment ref="B44" authorId="0">
      <text>
        <r>
          <rPr>
            <sz val="10"/>
            <rFont val="Arial"/>
            <family val="2"/>
          </rPr>
          <t xml:space="preserve">XBRL LongTermDebtNoncurrent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zEtMy0xLTEtODc0_73491ea0-948c-4d9f-ae64-cd5e38967a40</t>
        </r>
      </text>
    </comment>
    <comment ref="B45" authorId="0">
      <text>
        <r>
          <rPr>
            <sz val="10"/>
            <rFont val="Arial"/>
            <family val="2"/>
          </rPr>
          <t xml:space="preserve">XBRL OperatingLeaseLiabilityNoncurrent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zEtMy0xLTEtOTE2_b9e2e9ef-8443-4c65-9204-933a8be5256f</t>
        </r>
      </text>
    </comment>
    <comment ref="B46" authorId="0">
      <text>
        <r>
          <rPr>
            <sz val="10"/>
            <rFont val="Arial"/>
            <family val="2"/>
          </rPr>
          <t xml:space="preserve">XBRL OtherLiabilitiesNoncurrent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zItMy0xLTEtOTE2_8f3e041a-5fa4-48a6-9791-1d34a159e350</t>
        </r>
      </text>
    </comment>
    <comment ref="B47" authorId="0">
      <text>
        <r>
          <rPr>
            <sz val="10"/>
            <rFont val="Arial"/>
            <family val="2"/>
          </rPr>
          <t xml:space="preserve">XBRL Liabilities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zAtMy0xLTEtMA_9b9c0353-4cac-410c-afc9-de425af246e8</t>
        </r>
      </text>
    </comment>
    <comment ref="B48" authorId="0">
      <text>
        <r>
          <rPr>
            <sz val="10"/>
            <rFont val="Arial"/>
            <family val="2"/>
          </rPr>
          <t xml:space="preserve">XBRL StockholdersEquity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zgtMy0xLTEtMA_4814853e-5815-4df5-97a9-87b7380987dc</t>
        </r>
      </text>
    </comment>
    <comment ref="B49" authorId="0">
      <text>
        <r>
          <rPr>
            <sz val="10"/>
            <rFont val="Arial"/>
            <family val="2"/>
          </rPr>
          <t xml:space="preserve">XBRL MinorityInterest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MzktMy0xLTEtMA_c07f880e-e537-46ce-b7da-4f865852c609</t>
        </r>
      </text>
    </comment>
    <comment ref="B50" authorId="0">
      <text>
        <r>
          <rPr>
            <sz val="10"/>
            <rFont val="Arial"/>
            <family val="2"/>
          </rPr>
          <t xml:space="preserve">XBRL StockholdersEquityIncludingPortionAttributableToNoncontrollingInterest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NDAtMy0xLTEtMA_e0053847-4c16-4aaa-8917-5e31d98610f2</t>
        </r>
      </text>
    </comment>
    <comment ref="B51" authorId="0">
      <text>
        <r>
          <rPr>
            <sz val="10"/>
            <rFont val="Arial"/>
            <family val="2"/>
          </rPr>
          <t xml:space="preserve">XBRL LiabilitiesAndStockholdersEquity
Accession 0000909832-20-000017
https://www.sec.gov/Archives/edgar/data/909832/000090983220000017/cost-20200830.htm#id3VybDovL2RvY3MudjEvZG9jOmQyYzdhMjdjYzQ1YTQzNDFhN2JkZjg4Yjk3MzlkMzhiL3NlYzpkMmM3YTI3Y2M0NWE0MzQxYTdiZGY4OGI5NzM5ZDM4Yl83OS9mcmFnOjQxZTU1ODI1ZjI5MDQ2ZTU5NjNhMDk0NTMzYjIxMzdhL3RhYmxlOmY3NzBmMmZlNGZlMTQzYTA5ODljYTZhNzZmZmZiYjdiL3RhYmxlcmFuZ2U6Zjc3MGYyZmU0ZmUxNDNhMDk4OWNhNmE3NmZmZmJiN2JfNDEtMy0xLTEtMA_83525a35-b552-4e65-9cce-b33f49ace886</t>
        </r>
      </text>
    </comment>
    <comment ref="B52" authorId="0">
      <text>
        <r>
          <rPr>
            <sz val="10"/>
            <rFont val="Arial"/>
            <family val="2"/>
          </rPr>
          <t xml:space="preserve">XBRL CommonStockSharesOutstanding
Accession 0000909832-20-000017
https://www.sec.gov/Archives/edgar/data/909832/000090983220000017/cost-20200830.htm#id3VybDovL2RvY3MudjEvZG9jOmQyYzdhMjdjYzQ1YTQzNDFhN2JkZjg4Yjk3MzlkMzhiL3NlYzpkMmM3YTI3Y2M0NWE0MzQxYTdiZGY4OGI5NzM5ZDM4Yl84Mi9mcmFnOjI4OWIxZDU4YTllMDRkMTJiNmI3ODhjNTUyNDE5ZWE1L3RhYmxlOjBmNDYxYWEzODA4OTQ5NzliYjcwYzc2NTdlYWQxY2ZlL3RhYmxlcmFuZ2U6MGY0NjFhYTM4MDg5NDk3OWJiNzBjNzY1N2VhZDFjZmVfOS0yLTEtMS0w_8bb843b2-94ee-455b-9a14-17b9bfea2968</t>
        </r>
      </text>
    </comment>
    <comment ref="C7" authorId="0">
      <text>
        <r>
          <rPr>
            <sz val="10"/>
            <rFont val="Arial"/>
            <family val="2"/>
          </rPr>
          <t xml:space="preserve">XBRL RevenueFromContractWithCustomerExcludingAssessedTax [srt:ProductOrServiceAxis=us-gaap:ProductMember]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My01LTEtMS01NTA3MQ_b31b399a-3b42-4470-a727-a87db8e8bd1e</t>
        </r>
      </text>
    </comment>
    <comment ref="C8" authorId="0">
      <text>
        <r>
          <rPr>
            <sz val="10"/>
            <rFont val="Arial"/>
            <family val="2"/>
          </rPr>
          <t xml:space="preserve">XBRL RevenueFromContractWithCustomerExcludingAssessedTax [srt:ProductOrServiceAxis=us-gaap:MembershipMember]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NC01LTEtMS01NTA3MQ_60cfa3d9-d7ee-4e05-a501-79b3ebac62fb</t>
        </r>
      </text>
    </comment>
    <comment ref="C9" authorId="0">
      <text>
        <r>
          <rPr>
            <sz val="10"/>
            <rFont val="Arial"/>
            <family val="2"/>
          </rPr>
          <t xml:space="preserve">XBRL Revenues
Accession 0000909832-22-000021
https://www.sec.gov/Archives/edgar/data/909832/000090983222000021/cost-20220828.htm#id3VybDovL2RvY3MudjEvZG9jOjdmOTI4MjJkZGY4NDRjMjQ5MTI2MjdiZjY4NTA5YjU2L3NlYzo3ZjkyODIyZGRmODQ0YzI0OTEyNjI3YmY2ODUwOWI1Nl8xNDUvZnJhZzpjYzI4OWUyYjJjZmM0ZDUyYmM0ZDRmOWY0M2IwMGI4Ny90YWJsZTozNzc3NTRlZDkwOTU0NDFkYmZkMGFhMjg2OGIwNjYwZC90YWJsZXJhbmdlOjM3Nzc1NGVkOTA5NTQ0MWRiZmQwYWEyODY4YjA2NjBkXzE2LTctMS0xLTU1MDcx_82322293-c561-424f-a554-ac228b413a21</t>
        </r>
      </text>
    </comment>
    <comment ref="C10" authorId="0">
      <text>
        <r>
          <rPr>
            <sz val="10"/>
            <rFont val="Arial"/>
            <family val="2"/>
          </rPr>
          <t xml:space="preserve">XBRL CostOfGoodsAndServicesSold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Ny01LTEtMS01NTA3MQ_8dcf313a-4f6f-4eef-b435-99a6611bb4ed</t>
        </r>
      </text>
    </comment>
    <comment ref="C11" authorId="0">
      <text>
        <r>
          <rPr>
            <sz val="10"/>
            <rFont val="Arial"/>
            <family val="2"/>
          </rPr>
          <t xml:space="preserve">XBRL SellingGeneralAndAdministrativeExpense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OC01LTEtMS01NTA3MQ_856965b2-3633-4254-84ac-1a082a41998d</t>
        </r>
      </text>
    </comment>
    <comment ref="C12" authorId="0">
      <text>
        <r>
          <rPr>
            <sz val="10"/>
            <rFont val="Arial"/>
            <family val="2"/>
          </rPr>
          <t xml:space="preserve">Not presented as a separate line in 0000909832-22-000021; set to 0</t>
        </r>
      </text>
    </comment>
    <comment ref="C13" authorId="0">
      <text>
        <r>
          <rPr>
            <sz val="10"/>
            <rFont val="Arial"/>
            <family val="2"/>
          </rPr>
          <t xml:space="preserve">XBRL OperatingIncomeLoss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MTAtNS0xLTEtNTUwNzE_3efe831c-1421-4972-94f6-4da58ea71b1d</t>
        </r>
      </text>
    </comment>
    <comment ref="C14" authorId="0">
      <text>
        <r>
          <rPr>
            <sz val="10"/>
            <rFont val="Arial"/>
            <family val="2"/>
          </rPr>
          <t xml:space="preserve">XBRL InterestExpense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MTItNS0xLTEtNTUwNzE_3949011d-661f-407e-bca5-76220bd2e719</t>
        </r>
      </text>
    </comment>
    <comment ref="C15" authorId="0">
      <text>
        <r>
          <rPr>
            <sz val="10"/>
            <rFont val="Arial"/>
            <family val="2"/>
          </rPr>
          <t xml:space="preserve">XBRL InterestAndOtherIncome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MTMtNS0xLTEtNTUwNzE_a7c97b62-f24f-4035-93db-1b2a3646b886</t>
        </r>
      </text>
    </comment>
    <comment ref="C16" authorId="0">
      <text>
        <r>
          <rPr>
            <sz val="10"/>
            <rFont val="Arial"/>
            <family val="2"/>
          </rPr>
          <t xml:space="preserve">XBRL IncomeLossFromContinuingOperationsBeforeIncomeTaxesExtraordinaryItemsNoncontrollingInterest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MTQtNS0xLTEtNTUwNzE_d040e321-d413-4a76-822d-855ef2f3b63b</t>
        </r>
      </text>
    </comment>
    <comment ref="C17" authorId="0">
      <text>
        <r>
          <rPr>
            <sz val="10"/>
            <rFont val="Arial"/>
            <family val="2"/>
          </rPr>
          <t xml:space="preserve">XBRL IncomeTaxExpenseBenefit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MTUtNS0xLTEtNTUwNzE_f40dc106-a86a-473a-b1ab-c200859a0032</t>
        </r>
      </text>
    </comment>
    <comment ref="C18" authorId="0">
      <text>
        <r>
          <rPr>
            <sz val="10"/>
            <rFont val="Arial"/>
            <family val="2"/>
          </rPr>
          <t xml:space="preserve">XBRL ProfitLoss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MTYtNS0xLTEtNTUwNzE_6cbf76f7-c77b-4886-95bf-62c991bf8f74</t>
        </r>
      </text>
    </comment>
    <comment ref="C19" authorId="0">
      <text>
        <r>
          <rPr>
            <sz val="10"/>
            <rFont val="Arial"/>
            <family val="2"/>
          </rPr>
          <t xml:space="preserve">XBRL NetIncomeLossAttributableToNoncontrollingInterest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MTctNS0xLTEtNTUwNzE_aa365c3f-50b1-46d1-9e97-eef98b8b34e6</t>
        </r>
      </text>
    </comment>
    <comment ref="C20" authorId="0">
      <text>
        <r>
          <rPr>
            <sz val="10"/>
            <rFont val="Arial"/>
            <family val="2"/>
          </rPr>
          <t xml:space="preserve">XBRL NetIncomeLoss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MTgtNS0xLTEtNTUwNzE_52e2e5fe-ae2e-414f-9ab5-9277fbfcdb97</t>
        </r>
      </text>
    </comment>
    <comment ref="C21" authorId="0">
      <text>
        <r>
          <rPr>
            <sz val="10"/>
            <rFont val="Arial"/>
            <family val="2"/>
          </rPr>
          <t xml:space="preserve">XBRL EarningsPerShareBasic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MjAtNS0xLTEtNTUwNzE_8a0afc66-798f-40a0-8ab6-176a74caefda</t>
        </r>
      </text>
    </comment>
    <comment ref="C22" authorId="0">
      <text>
        <r>
          <rPr>
            <sz val="10"/>
            <rFont val="Arial"/>
            <family val="2"/>
          </rPr>
          <t xml:space="preserve">XBRL EarningsPerShareDiluted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MjEtNS0xLTEtNTUwNzE_eb36da3a-39a0-464f-9fa0-fa4bb5060c41</t>
        </r>
      </text>
    </comment>
    <comment ref="C23" authorId="0">
      <text>
        <r>
          <rPr>
            <sz val="10"/>
            <rFont val="Arial"/>
            <family val="2"/>
          </rPr>
          <t xml:space="preserve">XBRL WeightedAverageNumberOfSharesOutstandingBasic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MjMtNS0xLTEtNTUwNzE_742dc2f4-02c2-413f-8ede-301d7c804bce</t>
        </r>
      </text>
    </comment>
    <comment ref="C24" authorId="0">
      <text>
        <r>
          <rPr>
            <sz val="10"/>
            <rFont val="Arial"/>
            <family val="2"/>
          </rPr>
          <t xml:space="preserve">XBRL WeightedAverageNumberOfDilutedSharesOutstanding
Accession 0000909832-22-000021
https://www.sec.gov/Archives/edgar/data/909832/000090983222000021/cost-20220828.htm#id3VybDovL2RvY3MudjEvZG9jOjdmOTI4MjJkZGY4NDRjMjQ5MTI2MjdiZjY4NTA5YjU2L3NlYzo3ZjkyODIyZGRmODQ0YzI0OTEyNjI3YmY2ODUwOWI1Nl84Mi9mcmFnOjAyMTg3NTdkYThjZTQ4MzQ5MjhjNWM2M2VhODAzODljL3RhYmxlOmE3NmFkYTViMzBjZDRjYmY5OGRhNWY3M2MzMzVjMWFjL3RhYmxlcmFuZ2U6YTc2YWRhNWIzMGNkNGNiZjk4ZGE1ZjczYzMzNWMxYWNfMjQtNS0xLTEtNTUwNzE_829117a0-1ac3-4771-ba85-a2a55b4218c5</t>
        </r>
      </text>
    </comment>
    <comment ref="C27" authorId="0">
      <text>
        <r>
          <rPr>
            <sz val="10"/>
            <rFont val="Arial"/>
            <family val="2"/>
          </rPr>
          <t xml:space="preserve">XBRL CashAndCashEquivalentsAtCarryingValue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y0zLTEtMS0w_8710e650-1349-4281-a945-85fac54341bb</t>
        </r>
      </text>
    </comment>
    <comment ref="C28" authorId="0">
      <text>
        <r>
          <rPr>
            <sz val="10"/>
            <rFont val="Arial"/>
            <family val="2"/>
          </rPr>
          <t xml:space="preserve">XBRL ShortTermInvestments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NC0zLTEtMS0w_c6a5895d-93ad-401e-90ed-4e69272f1ab3</t>
        </r>
      </text>
    </comment>
    <comment ref="C29" authorId="0">
      <text>
        <r>
          <rPr>
            <sz val="10"/>
            <rFont val="Arial"/>
            <family val="2"/>
          </rPr>
          <t xml:space="preserve">XBRL ReceivablesNetCurrent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NS0zLTEtMS0w_dd476ec9-1719-4f1a-8dd2-f3219e6ae007</t>
        </r>
      </text>
    </comment>
    <comment ref="C30" authorId="0">
      <text>
        <r>
          <rPr>
            <sz val="10"/>
            <rFont val="Arial"/>
            <family val="2"/>
          </rPr>
          <t xml:space="preserve">XBRL InventoryNet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Ni0zLTEtMS0w_2560cd80-8ca7-4a98-a8f4-c7c092aa99c7</t>
        </r>
      </text>
    </comment>
    <comment ref="C31" authorId="0">
      <text>
        <r>
          <rPr>
            <sz val="10"/>
            <rFont val="Arial"/>
            <family val="2"/>
          </rPr>
          <t xml:space="preserve">XBRL OtherAssetsCurrent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Ny0zLTEtMS0w_4a87d185-a58f-47b7-8b61-ec25913ff0ba</t>
        </r>
      </text>
    </comment>
    <comment ref="C32" authorId="0">
      <text>
        <r>
          <rPr>
            <sz val="10"/>
            <rFont val="Arial"/>
            <family val="2"/>
          </rPr>
          <t xml:space="preserve">XBRL AssetsCurrent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OC0zLTEtMS0w_dcf7971b-4244-4739-91e6-dd9d0225ea35</t>
        </r>
      </text>
    </comment>
    <comment ref="C33" authorId="0">
      <text>
        <r>
          <rPr>
            <sz val="10"/>
            <rFont val="Arial"/>
            <family val="2"/>
          </rPr>
          <t xml:space="preserve">XBRL PropertyPlantAndEquipmentNet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TAtMy0xLTEtMA_ac2c5042-5b7e-4c92-a2bb-0aa9ac5d295e</t>
        </r>
      </text>
    </comment>
    <comment ref="C34" authorId="0">
      <text>
        <r>
          <rPr>
            <sz val="10"/>
            <rFont val="Arial"/>
            <family val="2"/>
          </rPr>
          <t xml:space="preserve">XBRL OperatingLeaseRightOfUseAsset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TEtMy0xLTEtMA_3fad1bad-dfed-4344-ab37-02a09c40c4d9</t>
        </r>
      </text>
    </comment>
    <comment ref="C35" authorId="0">
      <text>
        <r>
          <rPr>
            <sz val="10"/>
            <rFont val="Arial"/>
            <family val="2"/>
          </rPr>
          <t xml:space="preserve">XBRL OtherAssetsNoncurrent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TItMy0xLTEtMA_c73092fb-cc9a-4c9b-b2bc-a0976d512d45</t>
        </r>
      </text>
    </comment>
    <comment ref="C36" authorId="0">
      <text>
        <r>
          <rPr>
            <sz val="10"/>
            <rFont val="Arial"/>
            <family val="2"/>
          </rPr>
          <t xml:space="preserve">XBRL Assets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TMtMy0xLTEtMA_ca7870af-a174-4026-9923-df9f22d32664</t>
        </r>
      </text>
    </comment>
    <comment ref="C37" authorId="0">
      <text>
        <r>
          <rPr>
            <sz val="10"/>
            <rFont val="Arial"/>
            <family val="2"/>
          </rPr>
          <t xml:space="preserve">XBRL AccountsPayableCurrent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TYtMy0xLTEtMA_9483f7cd-12ed-41ee-869e-5d38557fce22</t>
        </r>
      </text>
    </comment>
    <comment ref="C38" authorId="0">
      <text>
        <r>
          <rPr>
            <sz val="10"/>
            <rFont val="Arial"/>
            <family val="2"/>
          </rPr>
          <t xml:space="preserve">XBRL EmployeeRelatedLiabilitiesCurrent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TctMy0xLTEtMA_baa71af0-6298-4486-b755-8c3c355ba3d0</t>
        </r>
      </text>
    </comment>
    <comment ref="C39" authorId="0">
      <text>
        <r>
          <rPr>
            <sz val="10"/>
            <rFont val="Arial"/>
            <family val="2"/>
          </rPr>
          <t xml:space="preserve">XBRL AccruedLiabilitiesCurrent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TgtMy0xLTEtMA_a0519f45-1e2d-46e1-b1b9-03076e691f08</t>
        </r>
      </text>
    </comment>
    <comment ref="C40" authorId="0">
      <text>
        <r>
          <rPr>
            <sz val="10"/>
            <rFont val="Arial"/>
            <family val="2"/>
          </rPr>
          <t xml:space="preserve">XBRL DeferredRevenueCurrent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TktMy0xLTEtMA_e8ba23e2-c699-4ebb-ab6c-4ab79291d31d</t>
        </r>
      </text>
    </comment>
    <comment ref="C41" authorId="0">
      <text>
        <r>
          <rPr>
            <sz val="10"/>
            <rFont val="Arial"/>
            <family val="2"/>
          </rPr>
          <t xml:space="preserve">XBRL LongTermDebtCurrent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jAtMy0xLTEtMA_af11707a-9427-41a4-b78b-92c7d2137a3e</t>
        </r>
      </text>
    </comment>
    <comment ref="C42" authorId="0">
      <text>
        <r>
          <rPr>
            <sz val="10"/>
            <rFont val="Arial"/>
            <family val="2"/>
          </rPr>
          <t xml:space="preserve">XBRL OtherLiabilitiesCurrent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jEtMy0xLTEtMA_6808984d-d4af-4b27-b553-52f16be4dde6</t>
        </r>
      </text>
    </comment>
    <comment ref="C43" authorId="0">
      <text>
        <r>
          <rPr>
            <sz val="10"/>
            <rFont val="Arial"/>
            <family val="2"/>
          </rPr>
          <t xml:space="preserve">XBRL LiabilitiesCurrent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jItMy0xLTEtMA_f5117947-f0ae-41f2-9f10-25ef744bfd39</t>
        </r>
      </text>
    </comment>
    <comment ref="C44" authorId="0">
      <text>
        <r>
          <rPr>
            <sz val="10"/>
            <rFont val="Arial"/>
            <family val="2"/>
          </rPr>
          <t xml:space="preserve">XBRL LongTermDebtNoncurrent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jQtMy0xLTEtMA_9fa6c7ca-d05c-48bc-98ea-0263a91a142b</t>
        </r>
      </text>
    </comment>
    <comment ref="C45" authorId="0">
      <text>
        <r>
          <rPr>
            <sz val="10"/>
            <rFont val="Arial"/>
            <family val="2"/>
          </rPr>
          <t xml:space="preserve">XBRL OperatingLeaseLiabilityNoncurrent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jUtMy0xLTEtMA_8c1990cb-e5cb-4c1e-97d0-a96c1aed3f9f</t>
        </r>
      </text>
    </comment>
    <comment ref="C46" authorId="0">
      <text>
        <r>
          <rPr>
            <sz val="10"/>
            <rFont val="Arial"/>
            <family val="2"/>
          </rPr>
          <t xml:space="preserve">XBRL OtherLiabilitiesNoncurrent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jYtMy0xLTEtMA_c2231826-98a9-4a68-819f-327af6aab6ed</t>
        </r>
      </text>
    </comment>
    <comment ref="C47" authorId="0">
      <text>
        <r>
          <rPr>
            <sz val="10"/>
            <rFont val="Arial"/>
            <family val="2"/>
          </rPr>
          <t xml:space="preserve">XBRL Liabilities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jctMy0xLTEtMA_9edc085b-ab1f-4c45-89f5-424f9b0376b1</t>
        </r>
      </text>
    </comment>
    <comment ref="C48" authorId="0">
      <text>
        <r>
          <rPr>
            <sz val="10"/>
            <rFont val="Arial"/>
            <family val="2"/>
          </rPr>
          <t xml:space="preserve">XBRL StockholdersEquity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zUtMy0xLTEtMA_b53d2ec4-8a72-4af3-9624-0fe561bd76bd</t>
        </r>
      </text>
    </comment>
    <comment ref="C49" authorId="0">
      <text>
        <r>
          <rPr>
            <sz val="10"/>
            <rFont val="Arial"/>
            <family val="2"/>
          </rPr>
          <t xml:space="preserve">XBRL MinorityInterest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zYtMy0xLTEtMA_a4e58222-d65d-4907-b624-0e411a7bf5e6</t>
        </r>
      </text>
    </comment>
    <comment ref="C50" authorId="0">
      <text>
        <r>
          <rPr>
            <sz val="10"/>
            <rFont val="Arial"/>
            <family val="2"/>
          </rPr>
          <t xml:space="preserve">XBRL StockholdersEquityIncludingPortionAttributableToNoncontrollingInterest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zctMy0xLTEtMA_389cf231-7881-4151-b66b-0a1d9ec4efd2</t>
        </r>
      </text>
    </comment>
    <comment ref="C51" authorId="0">
      <text>
        <r>
          <rPr>
            <sz val="10"/>
            <rFont val="Arial"/>
            <family val="2"/>
          </rPr>
          <t xml:space="preserve">XBRL LiabilitiesAndStockholdersEquity
Accession 0000909832-21-000014
https://www.sec.gov/Archives/edgar/data/909832/000090983221000014/cost-20210829.htm#id3VybDovL2RvY3MudjEvZG9jOmU1OGRhYTJkOGIzMjQ3YzZiZmQ4YzVlYTBhZTRhMzRlL3NlYzplNThkYWEyZDhiMzI0N2M2YmZkOGM1ZWEwYWU0YTM0ZV84OC9mcmFnOjZlNzEzMjg4Y2UyNjQ4OTdiY2I5ZTkzYzMxNzdjMDE1L3RhYmxlOmVmNmQzNjNjZWUzZDRkNmJiMTE1NDE3YjFhNWZjN2IxL3RhYmxlcmFuZ2U6ZWY2ZDM2M2NlZTNkNGQ2YmIxMTU0MTdiMWE1ZmM3YjFfMzgtMy0xLTEtMA_34632181-78f1-4fa6-a717-949c5db19120</t>
        </r>
      </text>
    </comment>
    <comment ref="C52" authorId="0">
      <text>
        <r>
          <rPr>
            <sz val="10"/>
            <rFont val="Arial"/>
            <family val="2"/>
          </rPr>
          <t xml:space="preserve">XBRL CommonStockSharesOutstanding
Accession 0000909832-21-000014
https://www.sec.gov/Archives/edgar/data/909832/000090983221000014/cost-20210829.htm#id3VybDovL2RvY3MudjEvZG9jOmU1OGRhYTJkOGIzMjQ3YzZiZmQ4YzVlYTBhZTRhMzRlL3NlYzplNThkYWEyZDhiMzI0N2M2YmZkOGM1ZWEwYWU0YTM0ZV85MS9mcmFnOjc5MjMxNDFkOGJiMTQ0NWNiNDFmYThjYmYxNDk2ZDdmL3RhYmxlOmNmMWVjYWI5YzU3MDRjNWE4MWM1MzFjY2ZlYWU3OTUwL3RhYmxlcmFuZ2U6Y2YxZWNhYjljNTcwNGM1YTgxYzUzMWNjZmVhZTc5NTBfOS0yLTEtMS0yMTI5Mw_8e47c3cd-7679-4920-b1cb-f073d9c7c0cd</t>
        </r>
      </text>
    </comment>
    <comment ref="C55" authorId="0">
      <text>
        <r>
          <rPr>
            <sz val="10"/>
            <rFont val="Arial"/>
            <family val="2"/>
          </rPr>
          <t xml:space="preserve">XBRL NetCashProvidedByUsedInOperatingActivities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MTQtNS0xLTEtNTUwNzE_902547af-8fdd-4c39-81b3-98fa489e363b</t>
        </r>
      </text>
    </comment>
    <comment ref="C56" authorId="0">
      <text>
        <r>
          <rPr>
            <sz val="10"/>
            <rFont val="Arial"/>
            <family val="2"/>
          </rPr>
          <t xml:space="preserve">XBRL DepreciationDepletionAndAmortization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NS01LTEtMS01NTA3MQ_6964432b-fdd5-442e-abf9-69e77fc0a706</t>
        </r>
      </text>
    </comment>
    <comment ref="C57" authorId="0">
      <text>
        <r>
          <rPr>
            <sz val="10"/>
            <rFont val="Arial"/>
            <family val="2"/>
          </rPr>
          <t xml:space="preserve">XBRL ShareBasedCompensation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Ny01LTEtMS01NTA3MQ_66633857-e675-418a-b311-79bc8c33cc56</t>
        </r>
      </text>
    </comment>
    <comment ref="C58" authorId="0">
      <text>
        <r>
          <rPr>
            <sz val="10"/>
            <rFont val="Arial"/>
            <family val="2"/>
          </rPr>
          <t xml:space="preserve">XBRL IncreaseDecreaseInInventories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MTEtNS0xLTEtNTUwNzE_334fbd80-1f19-4ef0-805c-024830e53495</t>
        </r>
      </text>
    </comment>
    <comment ref="C59" authorId="0">
      <text>
        <r>
          <rPr>
            <sz val="10"/>
            <rFont val="Arial"/>
            <family val="2"/>
          </rPr>
          <t xml:space="preserve">XBRL IncreaseDecreaseInAccountsPayable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MTItNS0xLTEtNTUwNzE_115f7962-29e0-4de0-8ae0-0f57534f353d</t>
        </r>
      </text>
    </comment>
    <comment ref="C60" authorId="0">
      <text>
        <r>
          <rPr>
            <sz val="10"/>
            <rFont val="Arial"/>
            <family val="2"/>
          </rPr>
          <t xml:space="preserve">XBRL IncreaseDecreaseInOtherOperatingCapitalNet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MTMtNS0xLTEtNTUwNzE_5ce2ea9f-1f9c-4c9c-96e9-0808c56ae479</t>
        </r>
      </text>
    </comment>
    <comment ref="C61" authorId="0">
      <text>
        <r>
          <rPr>
            <sz val="10"/>
            <rFont val="Arial"/>
            <family val="2"/>
          </rPr>
          <t xml:space="preserve">XBRL PaymentsToAcquirePropertyPlantAndEquipment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MTgtNS0xLTEtNTUwNzE_79765401-40b7-4f4d-879b-6a01faf3e50b</t>
        </r>
      </text>
    </comment>
    <comment ref="C62" authorId="0">
      <text>
        <r>
          <rPr>
            <sz val="10"/>
            <rFont val="Arial"/>
            <family val="2"/>
          </rPr>
          <t xml:space="preserve">XBRL NetCashProvidedByUsedInInvestingActivities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MjEtNS0xLTEtNTUwNzE_52ff57e7-9310-483c-b7aa-186cac85557f</t>
        </r>
      </text>
    </comment>
    <comment ref="C63" authorId="0">
      <text>
        <r>
          <rPr>
            <sz val="10"/>
            <rFont val="Arial"/>
            <family val="2"/>
          </rPr>
          <t xml:space="preserve">XBRL PaymentsOfDividendsCommonStock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MzItNS0xLTEtNTUwNzE_72d834ac-efcd-4250-b305-6b1ec660a7c9</t>
        </r>
      </text>
    </comment>
    <comment ref="C64" authorId="0">
      <text>
        <r>
          <rPr>
            <sz val="10"/>
            <rFont val="Arial"/>
            <family val="2"/>
          </rPr>
          <t xml:space="preserve">XBRL PaymentsForRepurchaseOfCommonStock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MzEtNS0xLTEtNTUwNzE_74bca078-6f53-4f01-bfeb-aa57763d84b8</t>
        </r>
      </text>
    </comment>
    <comment ref="C65" authorId="0">
      <text>
        <r>
          <rPr>
            <sz val="10"/>
            <rFont val="Arial"/>
            <family val="2"/>
          </rPr>
          <t xml:space="preserve">XBRL ProceedsFromIssuanceOfLongTermDebt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MjYtNS0xLTEtNTUwNzE_b8da8161-677f-49f1-9d7a-e2e6dc5df642</t>
        </r>
      </text>
    </comment>
    <comment ref="C66" authorId="0">
      <text>
        <r>
          <rPr>
            <sz val="10"/>
            <rFont val="Arial"/>
            <family val="2"/>
          </rPr>
          <t xml:space="preserve">XBRL RepaymentsOfLongTermDebt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MjctNS0xLTEtNTUwNzE_8722e3dd-8e72-4045-9be0-1eaa36aa320a</t>
        </r>
      </text>
    </comment>
    <comment ref="C67" authorId="0">
      <text>
        <r>
          <rPr>
            <sz val="10"/>
            <rFont val="Arial"/>
            <family val="2"/>
          </rPr>
          <t xml:space="preserve">XBRL NetCashProvidedByUsedInFinancingActivities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MzQtNS0xLTEtNTUwNzE_3a94b44a-f3bb-4720-9b91-f574090ea22f</t>
        </r>
      </text>
    </comment>
    <comment ref="C68" authorId="0">
      <text>
        <r>
          <rPr>
            <sz val="10"/>
            <rFont val="Arial"/>
            <family val="2"/>
          </rPr>
          <t xml:space="preserve">XBRL EffectOfExchangeRateOnCashCashEquivalentsRestrictedCashAndRestrictedCashEquivalents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MzUtNS0xLTEtNTUwNzE_4f2a9471-8c39-485f-85f5-a873bd39f384</t>
        </r>
      </text>
    </comment>
    <comment ref="C69" authorId="0">
      <text>
        <r>
          <rPr>
            <sz val="10"/>
            <rFont val="Arial"/>
            <family val="2"/>
          </rPr>
          <t xml:space="preserve">XBRL CashCashEquivalentsRestrictedCashAndRestrictedCashEquivalentsPeriodIncreaseDecreaseIncludingExchangeRateEffect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MzYtNS0xLTEtNTUwNzE_b65c9e68-594a-4c97-8229-68cdb814578f</t>
        </r>
      </text>
    </comment>
    <comment ref="C70" authorId="0">
      <text>
        <r>
          <rPr>
            <sz val="10"/>
            <rFont val="Arial"/>
            <family val="2"/>
          </rPr>
          <t xml:space="preserve">XBRL IncomeTaxesPaid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NDMtNS0xLTEtNTUwNzE_4c78c08a-d63f-4c03-b384-9263440c9760</t>
        </r>
      </text>
    </comment>
    <comment ref="C71" authorId="0">
      <text>
        <r>
          <rPr>
            <sz val="10"/>
            <rFont val="Arial"/>
            <family val="2"/>
          </rPr>
          <t xml:space="preserve">XBRL InterestPaidNet
Accession 0000909832-22-000021
https://www.sec.gov/Archives/edgar/data/909832/000090983222000021/cost-20220828.htm#id3VybDovL2RvY3MudjEvZG9jOjdmOTI4MjJkZGY4NDRjMjQ5MTI2MjdiZjY4NTA5YjU2L3NlYzo3ZjkyODIyZGRmODQ0YzI0OTEyNjI3YmY2ODUwOWI1Nl85Ny9mcmFnOmMwMWRhNmFkYTE2MTRiZGM4MTE2NGVhN2ZhOGY0OTI5L3RhYmxlOjkyODU0ZmYyODE1NDQ1YjA4Y2E2OTRiNzJiMjMxMzkwL3RhYmxlcmFuZ2U6OTI4NTRmZjI4MTU0NDViMDhjYTY5NGI3MmIyMzEzOTBfNDItNS0xLTEtNTUwNzE_572b037a-231d-4384-9105-64a99ada1a3e</t>
        </r>
      </text>
    </comment>
    <comment ref="C74" authorId="0">
      <text>
        <r>
          <rPr>
            <sz val="10"/>
            <rFont val="Arial"/>
            <family val="2"/>
          </rPr>
          <t xml:space="preserve">XBRL OperatingLeaseLiability
Accession 0000909832-20-000017
https://www.sec.gov/Archives/edgar/data/909832/000090983220000017/cost-20200830.htm#id3VybDovL2RvY3MudjEvZG9jOmQyYzdhMjdjYzQ1YTQzNDFhN2JkZjg4Yjk3MzlkMzhiL3NlYzpkMmM3YTI3Y2M0NWE0MzQxYTdiZGY4OGI5NzM5ZDM4Yl8xMjcvZnJhZzo0MDJjY2Y5YTA4NmU0YjFhODE2NjcwNzc4NzAzZGFlMC90YWJsZToxYjRhMGQ0NmY0NTU0NzJhODk5NDQ1ZjZmMjFmNTQ3MC90YWJsZXJhbmdlOjFiNGEwZDQ2ZjQ1NTQ3MmE4OTk0NDVmNmYyMWY1NDcwXzktMi0xLTEtMTA1MA_3ffb745a-dbca-4ffc-807c-07523c71d10e</t>
        </r>
      </text>
    </comment>
    <comment ref="C75" authorId="0">
      <text>
        <r>
          <rPr>
            <sz val="10"/>
            <rFont val="Arial"/>
            <family val="2"/>
          </rPr>
          <t xml:space="preserve">XBRL OperatingLeaseandFinanceLeaseLiabilities
Accession 0000909832-21-000014
https://www.sec.gov/Archives/edgar/data/909832/000090983221000014/cost-20210829.htm#id3VybDovL2RvY3MudjEvZG9jOmU1OGRhYTJkOGIzMjQ3YzZiZmQ4YzVlYTBhZTRhMzRlL3NlYzplNThkYWEyZDhiMzI0N2M2YmZkOGM1ZWEwYWU0YTM0ZV8xMzAvZnJhZzoxOTVjODc1YmU1ZTQ0MzRhOTRmY2YzYTFkNTZjYmY4OC90YWJsZTo1YWU3M2VmY2YyNDM0NThmYjhlYWQzNzA0NmM2NzEwYy90YWJsZXJhbmdlOjVhZTczZWZjZjI0MzQ1OGZiOGVhZDM3MDQ2YzY3MTBjXzEyLTQtMS0xLTExMTc0_8a6979d6-f863-405a-b3fa-fa40a6bf9da4</t>
        </r>
      </text>
    </comment>
    <comment ref="C76" authorId="0">
      <text>
        <r>
          <rPr>
            <sz val="10"/>
            <rFont val="Arial"/>
            <family val="2"/>
          </rPr>
          <t xml:space="preserve">XBRL FinanceLeaseLiability
Accession 0000909832-20-000017
https://www.sec.gov/Archives/edgar/data/909832/000090983220000017/cost-20200830.htm#id3VybDovL2RvY3MudjEvZG9jOmQyYzdhMjdjYzQ1YTQzNDFhN2JkZjg4Yjk3MzlkMzhiL3NlYzpkMmM3YTI3Y2M0NWE0MzQxYTdiZGY4OGI5NzM5ZDM4Yl8xMjcvZnJhZzo0MDJjY2Y5YTA4NmU0YjFhODE2NjcwNzc4NzAzZGFlMC90YWJsZToxYjRhMGQ0NmY0NTU0NzJhODk5NDQ1ZjZmMjFmNTQ3MC90YWJsZXJhbmdlOjFiNGEwZDQ2ZjQ1NTQ3MmE4OTk0NDVmNmYyMWY1NDcwXzktNC0xLTEtMTA1MA_c9132b2e-25b3-471d-a6ec-fd6317a49920</t>
        </r>
      </text>
    </comment>
    <comment ref="C79" authorId="0">
      <text>
        <r>
          <rPr>
            <sz val="10"/>
            <rFont val="Arial"/>
            <family val="2"/>
          </rPr>
          <t xml:space="preserve">XBRL us-gaap:NumberOfStores
Accession 0000909832-20-000017
https://www.sec.gov/Archives/edgar/data/909832/000090983220000017/cost-20200830.htm#id3VybDovL2RvY3MudjEvZG9jOmQyYzdhMjdjYzQ1YTQzNDFhN2JkZjg4Yjk3MzlkMzhiL3NlYzpkMmM3YTI3Y2M0NWE0MzQxYTdiZGY4OGI5NzM5ZDM4Yl8xMDYvZnJhZzphMjUyNTBhY2RiZTY0OWUxODRhODVmNDY5MGUzMDc5ZS90ZXh0cmVnaW9uOmEyNTI1MGFjZGJlNjQ5ZTE4NGE4NWY0NjkwZTMwNzllXzQ2Mw_5351ae6d-862b-4dbb-bd17-b7c2204d49c5</t>
        </r>
      </text>
    </comment>
    <comment ref="C80" authorId="0">
      <text>
        <r>
          <rPr>
            <sz val="10"/>
            <rFont val="Arial"/>
            <family val="2"/>
          </rPr>
          <t xml:space="preserve">Item 1 - Membership
Accession 0000909832-20-000017
Quote: "Total paid members 58,100"</t>
        </r>
      </text>
    </comment>
    <comment ref="C81" authorId="0">
      <text>
        <r>
          <rPr>
            <sz val="10"/>
            <rFont val="Arial"/>
            <family val="2"/>
          </rPr>
          <t xml:space="preserve">Item 1 - Membership
Accession 0000909832-20-000017
Quote: "Executive members, who totaled 22.6 million and represented 39% of paid members at the end of 2020"</t>
        </r>
      </text>
    </comment>
    <comment ref="C82" authorId="0">
      <text>
        <r>
          <rPr>
            <sz val="10"/>
            <rFont val="Arial"/>
            <family val="2"/>
          </rPr>
          <t xml:space="preserve">Item 7 MD&amp;A - Highlights table
Accession 0000909832-20-000017
Quote: "Changes in comparable sales: U.S. 8 % 8 % 9 % Canada 5 % 2 % 9 % Other International 9 % 2 % 11 % Total Company 8 %"</t>
        </r>
      </text>
    </comment>
    <comment ref="C83" authorId="0">
      <text>
        <r>
          <rPr>
            <sz val="10"/>
            <rFont val="Arial"/>
            <family val="2"/>
          </rPr>
          <t xml:space="preserve">Item 1 - Membership
Accession 0000909832-20-000017
Quote: "Our member renewal rate was 91% in the U.S. and Canada and 88% on a worldwide basis at the end of 2020"</t>
        </r>
      </text>
    </comment>
    <comment ref="D7" authorId="0">
      <text>
        <r>
          <rPr>
            <sz val="10"/>
            <rFont val="Arial"/>
            <family val="2"/>
          </rPr>
          <t xml:space="preserve">XBRL RevenueFromContractWithCustomerExcludingAssessedTax [srt:ProductOrServiceAxis=us-gaap:ProductMember]
Accession 0000909832-23-000042
https://www.sec.gov/Archives/edgar/data/909832/000090983223000042/cost-20230903.htm#f-38</t>
        </r>
      </text>
    </comment>
    <comment ref="D8" authorId="0">
      <text>
        <r>
          <rPr>
            <sz val="10"/>
            <rFont val="Arial"/>
            <family val="2"/>
          </rPr>
          <t xml:space="preserve">XBRL RevenueFromContractWithCustomerExcludingAssessedTax [srt:ProductOrServiceAxis=us-gaap:MembershipMember]
Accession 0000909832-23-000042
https://www.sec.gov/Archives/edgar/data/909832/000090983223000042/cost-20230903.htm#f-41</t>
        </r>
      </text>
    </comment>
    <comment ref="D9" authorId="0">
      <text>
        <r>
          <rPr>
            <sz val="10"/>
            <rFont val="Arial"/>
            <family val="2"/>
          </rPr>
          <t xml:space="preserve">XBRL Revenues
Accession 0000909832-23-000042
https://www.sec.gov/Archives/edgar/data/909832/000090983223000042/cost-20230903.htm#f-935</t>
        </r>
      </text>
    </comment>
    <comment ref="D10" authorId="0">
      <text>
        <r>
          <rPr>
            <sz val="10"/>
            <rFont val="Arial"/>
            <family val="2"/>
          </rPr>
          <t xml:space="preserve">XBRL CostOfGoodsAndServicesSold
Accession 0000909832-23-000042
https://www.sec.gov/Archives/edgar/data/909832/000090983223000042/cost-20230903.htm#f-47</t>
        </r>
      </text>
    </comment>
    <comment ref="D11" authorId="0">
      <text>
        <r>
          <rPr>
            <sz val="10"/>
            <rFont val="Arial"/>
            <family val="2"/>
          </rPr>
          <t xml:space="preserve">XBRL SellingGeneralAndAdministrativeExpense
Accession 0000909832-23-000042
https://www.sec.gov/Archives/edgar/data/909832/000090983223000042/cost-20230903.htm#f-50</t>
        </r>
      </text>
    </comment>
    <comment ref="D12" authorId="0">
      <text>
        <r>
          <rPr>
            <sz val="10"/>
            <rFont val="Arial"/>
            <family val="2"/>
          </rPr>
          <t xml:space="preserve">Not presented as a separate line in 0000909832-23-000042; set to 0</t>
        </r>
      </text>
    </comment>
    <comment ref="D13" authorId="0">
      <text>
        <r>
          <rPr>
            <sz val="10"/>
            <rFont val="Arial"/>
            <family val="2"/>
          </rPr>
          <t xml:space="preserve">XBRL OperatingIncomeLoss
Accession 0000909832-23-000042
https://www.sec.gov/Archives/edgar/data/909832/000090983223000042/cost-20230903.htm#f-53</t>
        </r>
      </text>
    </comment>
    <comment ref="D14" authorId="0">
      <text>
        <r>
          <rPr>
            <sz val="10"/>
            <rFont val="Arial"/>
            <family val="2"/>
          </rPr>
          <t xml:space="preserve">XBRL InterestExpense
Accession 0000909832-23-000042
https://www.sec.gov/Archives/edgar/data/909832/000090983223000042/cost-20230903.htm#f-56</t>
        </r>
      </text>
    </comment>
    <comment ref="D15" authorId="0">
      <text>
        <r>
          <rPr>
            <sz val="10"/>
            <rFont val="Arial"/>
            <family val="2"/>
          </rPr>
          <t xml:space="preserve">XBRL InterestAndOtherIncome
Accession 0000909832-23-000042
https://www.sec.gov/Archives/edgar/data/909832/000090983223000042/cost-20230903.htm#f-59</t>
        </r>
      </text>
    </comment>
    <comment ref="D16" authorId="0">
      <text>
        <r>
          <rPr>
            <sz val="10"/>
            <rFont val="Arial"/>
            <family val="2"/>
          </rPr>
          <t xml:space="preserve">XBRL IncomeLossFromContinuingOperationsBeforeIncomeTaxesExtraordinaryItemsNoncontrollingInterest
Accession 0000909832-23-000042
https://www.sec.gov/Archives/edgar/data/909832/000090983223000042/cost-20230903.htm#f-62</t>
        </r>
      </text>
    </comment>
    <comment ref="D17" authorId="0">
      <text>
        <r>
          <rPr>
            <sz val="10"/>
            <rFont val="Arial"/>
            <family val="2"/>
          </rPr>
          <t xml:space="preserve">XBRL IncomeTaxExpenseBenefit
Accession 0000909832-23-000042
https://www.sec.gov/Archives/edgar/data/909832/000090983223000042/cost-20230903.htm#f-65</t>
        </r>
      </text>
    </comment>
    <comment ref="D18" authorId="0">
      <text>
        <r>
          <rPr>
            <sz val="10"/>
            <rFont val="Arial"/>
            <family val="2"/>
          </rPr>
          <t xml:space="preserve">XBRL ProfitLoss
Accession 0000909832-23-000042
https://www.sec.gov/Archives/edgar/data/909832/000090983223000042/cost-20230903.htm#f-68</t>
        </r>
      </text>
    </comment>
    <comment ref="D19" authorId="0">
      <text>
        <r>
          <rPr>
            <sz val="10"/>
            <rFont val="Arial"/>
            <family val="2"/>
          </rPr>
          <t xml:space="preserve">XBRL NetIncomeLossAttributableToNoncontrollingInterest
Accession 0000909832-23-000042
https://www.sec.gov/Archives/edgar/data/909832/000090983223000042/cost-20230903.htm#f-71</t>
        </r>
      </text>
    </comment>
    <comment ref="D20" authorId="0">
      <text>
        <r>
          <rPr>
            <sz val="10"/>
            <rFont val="Arial"/>
            <family val="2"/>
          </rPr>
          <t xml:space="preserve">XBRL NetIncomeLoss
Accession 0000909832-23-000042
https://www.sec.gov/Archives/edgar/data/909832/000090983223000042/cost-20230903.htm#f-74</t>
        </r>
      </text>
    </comment>
    <comment ref="D21" authorId="0">
      <text>
        <r>
          <rPr>
            <sz val="10"/>
            <rFont val="Arial"/>
            <family val="2"/>
          </rPr>
          <t xml:space="preserve">XBRL EarningsPerShareBasic
Accession 0000909832-23-000042
https://www.sec.gov/Archives/edgar/data/909832/000090983223000042/cost-20230903.htm#f-77</t>
        </r>
      </text>
    </comment>
    <comment ref="D22" authorId="0">
      <text>
        <r>
          <rPr>
            <sz val="10"/>
            <rFont val="Arial"/>
            <family val="2"/>
          </rPr>
          <t xml:space="preserve">XBRL EarningsPerShareDiluted
Accession 0000909832-23-000042
https://www.sec.gov/Archives/edgar/data/909832/000090983223000042/cost-20230903.htm#f-80</t>
        </r>
      </text>
    </comment>
    <comment ref="D23" authorId="0">
      <text>
        <r>
          <rPr>
            <sz val="10"/>
            <rFont val="Arial"/>
            <family val="2"/>
          </rPr>
          <t xml:space="preserve">XBRL WeightedAverageNumberOfSharesOutstandingBasic
Accession 0000909832-23-000042
https://www.sec.gov/Archives/edgar/data/909832/000090983223000042/cost-20230903.htm#f-83</t>
        </r>
      </text>
    </comment>
    <comment ref="D24" authorId="0">
      <text>
        <r>
          <rPr>
            <sz val="10"/>
            <rFont val="Arial"/>
            <family val="2"/>
          </rPr>
          <t xml:space="preserve">XBRL WeightedAverageNumberOfDilutedSharesOutstanding
Accession 0000909832-23-000042
https://www.sec.gov/Archives/edgar/data/909832/000090983223000042/cost-20230903.htm#f-86</t>
        </r>
      </text>
    </comment>
    <comment ref="D27" authorId="0">
      <text>
        <r>
          <rPr>
            <sz val="10"/>
            <rFont val="Arial"/>
            <family val="2"/>
          </rPr>
          <t xml:space="preserve">XBRL CashAndCashEquivalentsAtCarryingValue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y0zLTEtMS01NTA3MQ_21e66ff7-f2cd-44a3-a4f5-4fc85c0da456</t>
        </r>
      </text>
    </comment>
    <comment ref="D28" authorId="0">
      <text>
        <r>
          <rPr>
            <sz val="10"/>
            <rFont val="Arial"/>
            <family val="2"/>
          </rPr>
          <t xml:space="preserve">XBRL ShortTermInvestments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NC0zLTEtMS01NTA3MQ_b024adbf-275a-423b-bf8c-2a43b157b6b6</t>
        </r>
      </text>
    </comment>
    <comment ref="D29" authorId="0">
      <text>
        <r>
          <rPr>
            <sz val="10"/>
            <rFont val="Arial"/>
            <family val="2"/>
          </rPr>
          <t xml:space="preserve">XBRL ReceivablesNetCurrent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NS0zLTEtMS01NTA3MQ_1f23fb8f-98a2-40ef-ab05-e20042ff6eb9</t>
        </r>
      </text>
    </comment>
    <comment ref="D30" authorId="0">
      <text>
        <r>
          <rPr>
            <sz val="10"/>
            <rFont val="Arial"/>
            <family val="2"/>
          </rPr>
          <t xml:space="preserve">XBRL InventoryNet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Ni0zLTEtMS01NTA3MQ_2a4d4b68-beda-47f7-9486-0b80c379c837</t>
        </r>
      </text>
    </comment>
    <comment ref="D31" authorId="0">
      <text>
        <r>
          <rPr>
            <sz val="10"/>
            <rFont val="Arial"/>
            <family val="2"/>
          </rPr>
          <t xml:space="preserve">XBRL OtherAssetsCurrent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Ny0zLTEtMS01NTA3MQ_f6a1a1ef-44b0-4d82-9502-8b41e047b302</t>
        </r>
      </text>
    </comment>
    <comment ref="D32" authorId="0">
      <text>
        <r>
          <rPr>
            <sz val="10"/>
            <rFont val="Arial"/>
            <family val="2"/>
          </rPr>
          <t xml:space="preserve">XBRL AssetsCurrent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OC0zLTEtMS01NTA3MQ_410e7d97-0f33-46b4-a09c-a6dd542488ef</t>
        </r>
      </text>
    </comment>
    <comment ref="D33" authorId="0">
      <text>
        <r>
          <rPr>
            <sz val="10"/>
            <rFont val="Arial"/>
            <family val="2"/>
          </rPr>
          <t xml:space="preserve">XBRL PropertyPlantAndEquipmentNet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TAtMy0xLTEtNTUwNzE_49c18e7d-7a11-4c01-bc5b-b6c396768eba</t>
        </r>
      </text>
    </comment>
    <comment ref="D34" authorId="0">
      <text>
        <r>
          <rPr>
            <sz val="10"/>
            <rFont val="Arial"/>
            <family val="2"/>
          </rPr>
          <t xml:space="preserve">XBRL OperatingLeaseRightOfUseAsset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TEtMy0xLTEtNTUwNzE_4619a1cd-e333-47d4-9d12-3aa61a558d80</t>
        </r>
      </text>
    </comment>
    <comment ref="D35" authorId="0">
      <text>
        <r>
          <rPr>
            <sz val="10"/>
            <rFont val="Arial"/>
            <family val="2"/>
          </rPr>
          <t xml:space="preserve">XBRL OtherAssetsNoncurrent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TItMy0xLTEtNTUwNzE_93bfbac6-4865-4bee-9e2e-12a562bac195</t>
        </r>
      </text>
    </comment>
    <comment ref="D36" authorId="0">
      <text>
        <r>
          <rPr>
            <sz val="10"/>
            <rFont val="Arial"/>
            <family val="2"/>
          </rPr>
          <t xml:space="preserve">XBRL Assets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TMtMy0xLTEtNTUwNzE_5612902a-3276-4c11-ab8f-31512a689bdc</t>
        </r>
      </text>
    </comment>
    <comment ref="D37" authorId="0">
      <text>
        <r>
          <rPr>
            <sz val="10"/>
            <rFont val="Arial"/>
            <family val="2"/>
          </rPr>
          <t xml:space="preserve">XBRL AccountsPayableCurrent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TYtMy0xLTEtNTUwNzE_3baa3119-5c9e-44d8-8f11-f6fdf95a9e77</t>
        </r>
      </text>
    </comment>
    <comment ref="D38" authorId="0">
      <text>
        <r>
          <rPr>
            <sz val="10"/>
            <rFont val="Arial"/>
            <family val="2"/>
          </rPr>
          <t xml:space="preserve">XBRL EmployeeRelatedLiabilitiesCurrent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TctMy0xLTEtNTUwNzE_d1f446ec-f5a5-43ae-9b33-0cc9b23b6f87</t>
        </r>
      </text>
    </comment>
    <comment ref="D39" authorId="0">
      <text>
        <r>
          <rPr>
            <sz val="10"/>
            <rFont val="Arial"/>
            <family val="2"/>
          </rPr>
          <t xml:space="preserve">XBRL AccruedLiabilitiesCurrent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TgtMy0xLTEtNTUwNzE_7ed024b3-0d7e-4b49-bb56-5e109a8250c3</t>
        </r>
      </text>
    </comment>
    <comment ref="D40" authorId="0">
      <text>
        <r>
          <rPr>
            <sz val="10"/>
            <rFont val="Arial"/>
            <family val="2"/>
          </rPr>
          <t xml:space="preserve">XBRL DeferredRevenueCurrent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TktMy0xLTEtNTUwNzE_f17dfabd-b53a-4516-aae8-825cb93cd19d</t>
        </r>
      </text>
    </comment>
    <comment ref="D41" authorId="0">
      <text>
        <r>
          <rPr>
            <sz val="10"/>
            <rFont val="Arial"/>
            <family val="2"/>
          </rPr>
          <t xml:space="preserve">XBRL LongTermDebtCurrent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jAtMy0xLTEtNTUwNzE_305dcd76-dd29-42a8-89e0-95eb09e1446a</t>
        </r>
      </text>
    </comment>
    <comment ref="D42" authorId="0">
      <text>
        <r>
          <rPr>
            <sz val="10"/>
            <rFont val="Arial"/>
            <family val="2"/>
          </rPr>
          <t xml:space="preserve">XBRL OtherLiabilitiesCurrent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jEtMy0xLTEtNTUwNzE_5a1b2a39-0d31-4ee7-85ca-7f8de48b8c84</t>
        </r>
      </text>
    </comment>
    <comment ref="D43" authorId="0">
      <text>
        <r>
          <rPr>
            <sz val="10"/>
            <rFont val="Arial"/>
            <family val="2"/>
          </rPr>
          <t xml:space="preserve">XBRL LiabilitiesCurrent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jItMy0xLTEtNTUwNzE_0196deb2-add0-4c3d-97c5-ba8f88865577</t>
        </r>
      </text>
    </comment>
    <comment ref="D44" authorId="0">
      <text>
        <r>
          <rPr>
            <sz val="10"/>
            <rFont val="Arial"/>
            <family val="2"/>
          </rPr>
          <t xml:space="preserve">XBRL LongTermDebtNoncurrent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jQtMy0xLTEtNTUwNzE_75797e68-c419-40f5-b391-5a6736e06e45</t>
        </r>
      </text>
    </comment>
    <comment ref="D45" authorId="0">
      <text>
        <r>
          <rPr>
            <sz val="10"/>
            <rFont val="Arial"/>
            <family val="2"/>
          </rPr>
          <t xml:space="preserve">XBRL OperatingLeaseLiabilityNoncurrent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jUtMy0xLTEtNTUwNzE_ba041176-85ed-423c-bb86-d6f253ba5803</t>
        </r>
      </text>
    </comment>
    <comment ref="D46" authorId="0">
      <text>
        <r>
          <rPr>
            <sz val="10"/>
            <rFont val="Arial"/>
            <family val="2"/>
          </rPr>
          <t xml:space="preserve">XBRL OtherLiabilitiesNoncurrent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jYtMy0xLTEtNTUwNzE_7135ca6c-7eb6-4241-a89d-27b886a6c49e</t>
        </r>
      </text>
    </comment>
    <comment ref="D47" authorId="0">
      <text>
        <r>
          <rPr>
            <sz val="10"/>
            <rFont val="Arial"/>
            <family val="2"/>
          </rPr>
          <t xml:space="preserve">XBRL Liabilities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jctMy0xLTEtNTUwNzE_fc3fa715-b322-4abc-b577-f50c886ebfe5</t>
        </r>
      </text>
    </comment>
    <comment ref="D48" authorId="0">
      <text>
        <r>
          <rPr>
            <sz val="10"/>
            <rFont val="Arial"/>
            <family val="2"/>
          </rPr>
          <t xml:space="preserve">XBRL StockholdersEquity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zUtMy0xLTEtNTUwNzE_29c2028b-bb9e-4ea3-bef2-0254225eff82</t>
        </r>
      </text>
    </comment>
    <comment ref="D49" authorId="0">
      <text>
        <r>
          <rPr>
            <sz val="10"/>
            <rFont val="Arial"/>
            <family val="2"/>
          </rPr>
          <t xml:space="preserve">XBRL MinorityInterest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zYtMy0xLTEtNTUwNzE_61c969ce-286c-4bf0-bc18-4b4a25f5acc8</t>
        </r>
      </text>
    </comment>
    <comment ref="D50" authorId="0">
      <text>
        <r>
          <rPr>
            <sz val="10"/>
            <rFont val="Arial"/>
            <family val="2"/>
          </rPr>
          <t xml:space="preserve">XBRL StockholdersEquityIncludingPortionAttributableToNoncontrollingInterest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zctMy0xLTEtNTUwNzE_6784e8e2-4601-4373-a017-47675792ca8d</t>
        </r>
      </text>
    </comment>
    <comment ref="D51" authorId="0">
      <text>
        <r>
          <rPr>
            <sz val="10"/>
            <rFont val="Arial"/>
            <family val="2"/>
          </rPr>
          <t xml:space="preserve">XBRL LiabilitiesAndStockholdersEquity
Accession 0000909832-22-000021
https://www.sec.gov/Archives/edgar/data/909832/000090983222000021/cost-20220828.htm#id3VybDovL2RvY3MudjEvZG9jOjdmOTI4MjJkZGY4NDRjMjQ5MTI2MjdiZjY4NTA5YjU2L3NlYzo3ZjkyODIyZGRmODQ0YzI0OTEyNjI3YmY2ODUwOWI1Nl84OC9mcmFnOjNmYWE1NGI1YzNmMTRhYjRhNmI0MzRlOGRiOTJlNDEyL3RhYmxlOmI3NDM3MzZiMjEzNTRkYzJhMjI1Y2FjNDlkOGYzYmE0L3RhYmxlcmFuZ2U6Yjc0MzczNmIyMTM1NGRjMmEyMjVjYWM0OWQ4ZjNiYTRfMzgtMy0xLTEtNTUwNzE_e15fc09f-43c5-4231-a805-b575864583c0</t>
        </r>
      </text>
    </comment>
    <comment ref="D52" authorId="0">
      <text>
        <r>
          <rPr>
            <sz val="10"/>
            <rFont val="Arial"/>
            <family val="2"/>
          </rPr>
          <t xml:space="preserve">XBRL CommonStockSharesOutstanding
Accession 0000909832-22-000021
https://www.sec.gov/Archives/edgar/data/909832/000090983222000021/cost-20220828.htm#id3VybDovL2RvY3MudjEvZG9jOjdmOTI4MjJkZGY4NDRjMjQ5MTI2MjdiZjY4NTA5YjU2L3NlYzo3ZjkyODIyZGRmODQ0YzI0OTEyNjI3YmY2ODUwOWI1Nl85MS9mcmFnOmI3OGZlMzNiMWIwNDQ0NjM4NGZhZDdiYjliYmFhNmM4L3RhYmxlOjgzYzA1YjU1MzFmYjQ5YzRhZGM5ZTU5ZmYyYzU4Y2Q4L3RhYmxlcmFuZ2U6ODNjMDViNTUzMWZiNDljNGFkYzllNTlmZjJjNThjZDhfOS0yLTEtMS01NTA3MQ_81519795-10f0-45eb-a813-54a6f68154b6</t>
        </r>
      </text>
    </comment>
    <comment ref="D55" authorId="0">
      <text>
        <r>
          <rPr>
            <sz val="10"/>
            <rFont val="Arial"/>
            <family val="2"/>
          </rPr>
          <t xml:space="preserve">XBRL NetCashProvidedByUsedInOperatingActivities
Accession 0000909832-23-000042
https://www.sec.gov/Archives/edgar/data/909832/000090983223000042/cost-20230903.htm#f-322</t>
        </r>
      </text>
    </comment>
    <comment ref="D56" authorId="0">
      <text>
        <r>
          <rPr>
            <sz val="10"/>
            <rFont val="Arial"/>
            <family val="2"/>
          </rPr>
          <t xml:space="preserve">XBRL DepreciationDepletionAndAmortization
Accession 0000909832-23-000042
https://www.sec.gov/Archives/edgar/data/909832/000090983223000042/cost-20230903.htm#f-301</t>
        </r>
      </text>
    </comment>
    <comment ref="D57" authorId="0">
      <text>
        <r>
          <rPr>
            <sz val="10"/>
            <rFont val="Arial"/>
            <family val="2"/>
          </rPr>
          <t xml:space="preserve">XBRL ShareBasedCompensation
Accession 0000909832-23-000042
https://www.sec.gov/Archives/edgar/data/909832/000090983223000042/cost-20230903.htm#f-307</t>
        </r>
      </text>
    </comment>
    <comment ref="D58" authorId="0">
      <text>
        <r>
          <rPr>
            <sz val="10"/>
            <rFont val="Arial"/>
            <family val="2"/>
          </rPr>
          <t xml:space="preserve">XBRL IncreaseDecreaseInInventories
Accession 0000909832-23-000042
https://www.sec.gov/Archives/edgar/data/909832/000090983223000042/cost-20230903.htm#f-313</t>
        </r>
      </text>
    </comment>
    <comment ref="D59" authorId="0">
      <text>
        <r>
          <rPr>
            <sz val="10"/>
            <rFont val="Arial"/>
            <family val="2"/>
          </rPr>
          <t xml:space="preserve">XBRL IncreaseDecreaseInAccountsPayable
Accession 0000909832-23-000042
https://www.sec.gov/Archives/edgar/data/909832/000090983223000042/cost-20230903.htm#f-316</t>
        </r>
      </text>
    </comment>
    <comment ref="D60" authorId="0">
      <text>
        <r>
          <rPr>
            <sz val="10"/>
            <rFont val="Arial"/>
            <family val="2"/>
          </rPr>
          <t xml:space="preserve">XBRL IncreaseDecreaseInOtherOperatingCapitalNet
Accession 0000909832-23-000042
https://www.sec.gov/Archives/edgar/data/909832/000090983223000042/cost-20230903.htm#f-319</t>
        </r>
      </text>
    </comment>
    <comment ref="D61" authorId="0">
      <text>
        <r>
          <rPr>
            <sz val="10"/>
            <rFont val="Arial"/>
            <family val="2"/>
          </rPr>
          <t xml:space="preserve">XBRL PaymentsToAcquirePropertyPlantAndEquipment
Accession 0000909832-23-000042
https://www.sec.gov/Archives/edgar/data/909832/000090983223000042/cost-20230903.htm#f-331</t>
        </r>
      </text>
    </comment>
    <comment ref="D62" authorId="0">
      <text>
        <r>
          <rPr>
            <sz val="10"/>
            <rFont val="Arial"/>
            <family val="2"/>
          </rPr>
          <t xml:space="preserve">XBRL NetCashProvidedByUsedInInvestingActivities
Accession 0000909832-23-000042
https://www.sec.gov/Archives/edgar/data/909832/000090983223000042/cost-20230903.htm#f-337</t>
        </r>
      </text>
    </comment>
    <comment ref="D63" authorId="0">
      <text>
        <r>
          <rPr>
            <sz val="10"/>
            <rFont val="Arial"/>
            <family val="2"/>
          </rPr>
          <t xml:space="preserve">XBRL PaymentsOfDividendsCommonStock
Accession 0000909832-23-000042
https://www.sec.gov/Archives/edgar/data/909832/000090983223000042/cost-20230903.htm#f-355</t>
        </r>
      </text>
    </comment>
    <comment ref="D64" authorId="0">
      <text>
        <r>
          <rPr>
            <sz val="10"/>
            <rFont val="Arial"/>
            <family val="2"/>
          </rPr>
          <t xml:space="preserve">XBRL PaymentsForRepurchaseOfCommonStock
Accession 0000909832-23-000042
https://www.sec.gov/Archives/edgar/data/909832/000090983223000042/cost-20230903.htm#f-352</t>
        </r>
      </text>
    </comment>
    <comment ref="D65" authorId="0">
      <text>
        <r>
          <rPr>
            <sz val="10"/>
            <rFont val="Arial"/>
            <family val="2"/>
          </rPr>
          <t xml:space="preserve">Not presented as a separate line in 0000909832-23-000042; set to 0</t>
        </r>
      </text>
    </comment>
    <comment ref="D66" authorId="0">
      <text>
        <r>
          <rPr>
            <sz val="10"/>
            <rFont val="Arial"/>
            <family val="2"/>
          </rPr>
          <t xml:space="preserve">XBRL RepaymentsOfLongTermDebt
Accession 0000909832-23-000042
https://www.sec.gov/Archives/edgar/data/909832/000090983223000042/cost-20230903.htm#f-346</t>
        </r>
      </text>
    </comment>
    <comment ref="D67" authorId="0">
      <text>
        <r>
          <rPr>
            <sz val="10"/>
            <rFont val="Arial"/>
            <family val="2"/>
          </rPr>
          <t xml:space="preserve">XBRL NetCashProvidedByUsedInFinancingActivities
Accession 0000909832-23-000042
https://www.sec.gov/Archives/edgar/data/909832/000090983223000042/cost-20230903.htm#f-370</t>
        </r>
      </text>
    </comment>
    <comment ref="D68" authorId="0">
      <text>
        <r>
          <rPr>
            <sz val="10"/>
            <rFont val="Arial"/>
            <family val="2"/>
          </rPr>
          <t xml:space="preserve">XBRL EffectOfExchangeRateOnCashCashEquivalentsRestrictedCashAndRestrictedCashEquivalents
Accession 0000909832-23-000042
https://www.sec.gov/Archives/edgar/data/909832/000090983223000042/cost-20230903.htm#f-373</t>
        </r>
      </text>
    </comment>
    <comment ref="D69" authorId="0">
      <text>
        <r>
          <rPr>
            <sz val="10"/>
            <rFont val="Arial"/>
            <family val="2"/>
          </rPr>
          <t xml:space="preserve">XBRL CashCashEquivalentsRestrictedCashAndRestrictedCashEquivalentsPeriodIncreaseDecreaseIncludingExchangeRateEffect
Accession 0000909832-23-000042
https://www.sec.gov/Archives/edgar/data/909832/000090983223000042/cost-20230903.htm#f-376</t>
        </r>
      </text>
    </comment>
    <comment ref="D70" authorId="0">
      <text>
        <r>
          <rPr>
            <sz val="10"/>
            <rFont val="Arial"/>
            <family val="2"/>
          </rPr>
          <t xml:space="preserve">XBRL IncomeTaxesPaid
Accession 0000909832-23-000042
https://www.sec.gov/Archives/edgar/data/909832/000090983223000042/cost-20230903.htm#f-388</t>
        </r>
      </text>
    </comment>
    <comment ref="D71" authorId="0">
      <text>
        <r>
          <rPr>
            <sz val="10"/>
            <rFont val="Arial"/>
            <family val="2"/>
          </rPr>
          <t xml:space="preserve">XBRL InterestPaidNet
Accession 0000909832-23-000042
https://www.sec.gov/Archives/edgar/data/909832/000090983223000042/cost-20230903.htm#f-385</t>
        </r>
      </text>
    </comment>
    <comment ref="D74" authorId="0">
      <text>
        <r>
          <rPr>
            <sz val="10"/>
            <rFont val="Arial"/>
            <family val="2"/>
          </rPr>
          <t xml:space="preserve">XBRL OperatingLeaseLiability
Accession 0000909832-21-000014
https://www.sec.gov/Archives/edgar/data/909832/000090983221000014/cost-20210829.htm#id3VybDovL2RvY3MudjEvZG9jOmU1OGRhYTJkOGIzMjQ3YzZiZmQ4YzVlYTBhZTRhMzRlL3NlYzplNThkYWEyZDhiMzI0N2M2YmZkOGM1ZWEwYWU0YTM0ZV8xMzAvZnJhZzoxOTVjODc1YmU1ZTQ0MzRhOTRmY2YzYTFkNTZjYmY4OC90YWJsZTo3NmVjYTA1NzUzNjg0MDc4OTlmNjk3YWY0NjdhNzhjZS90YWJsZXJhbmdlOjc2ZWNhMDU3NTM2ODQwNzg5OWY2OTdhZjQ2N2E3OGNlXzktMi0xLTEtMA_913b6220-6970-4831-9adb-a211ccdbfd8b</t>
        </r>
      </text>
    </comment>
    <comment ref="D75" authorId="0">
      <text>
        <r>
          <rPr>
            <sz val="10"/>
            <rFont val="Arial"/>
            <family val="2"/>
          </rPr>
          <t xml:space="preserve">XBRL OperatingLeaseandFinanceLeaseLiabilities
Accession 0000909832-22-000021
https://www.sec.gov/Archives/edgar/data/909832/000090983222000021/cost-20220828.htm#id3VybDovL2RvY3MudjEvZG9jOjdmOTI4MjJkZGY4NDRjMjQ5MTI2MjdiZjY4NTA5YjU2L3NlYzo3ZjkyODIyZGRmODQ0YzI0OTEyNjI3YmY2ODUwOWI1Nl8xMjcvZnJhZzowYjVjM2NhMmUwZTI0MDU1ODkwNjQ2ODkwNjE2MTc2MC90YWJsZTo4NWY1Y2U0MjljNmM0YWEzOTYwYTZhZjBlMWQ3YjFjNy90YWJsZXJhbmdlOjg1ZjVjZTQyOWM2YzRhYTM5NjBhNmFmMGUxZDdiMWM3XzEyLTMtMS0xLTU1MDcx_cb0dd3ab-1c0e-40f2-94c4-cd8114e9fa1d</t>
        </r>
      </text>
    </comment>
    <comment ref="D76" authorId="0">
      <text>
        <r>
          <rPr>
            <sz val="10"/>
            <rFont val="Arial"/>
            <family val="2"/>
          </rPr>
          <t xml:space="preserve">XBRL FinanceLeaseLiability
Accession 0000909832-21-000014
https://www.sec.gov/Archives/edgar/data/909832/000090983221000014/cost-20210829.htm#id3VybDovL2RvY3MudjEvZG9jOmU1OGRhYTJkOGIzMjQ3YzZiZmQ4YzVlYTBhZTRhMzRlL3NlYzplNThkYWEyZDhiMzI0N2M2YmZkOGM1ZWEwYWU0YTM0ZV8xMzAvZnJhZzoxOTVjODc1YmU1ZTQ0MzRhOTRmY2YzYTFkNTZjYmY4OC90YWJsZTo3NmVjYTA1NzUzNjg0MDc4OTlmNjk3YWY0NjdhNzhjZS90YWJsZXJhbmdlOjc2ZWNhMDU3NTM2ODQwNzg5OWY2OTdhZjQ2N2E3OGNlXzktNC0xLTEtMA_70bed50b-eaea-4ca8-9020-3d1f6874f055</t>
        </r>
      </text>
    </comment>
    <comment ref="D79" authorId="0">
      <text>
        <r>
          <rPr>
            <sz val="10"/>
            <rFont val="Arial"/>
            <family val="2"/>
          </rPr>
          <t xml:space="preserve">XBRL us-gaap:NumberOfStores
Accession 0000909832-21-000014
https://www.sec.gov/Archives/edgar/data/909832/000090983221000014/cost-20210829.htm#id3VybDovL2RvY3MudjEvZG9jOmU1OGRhYTJkOGIzMjQ3YzZiZmQ4YzVlYTBhZTRhMzRlL3NlYzplNThkYWEyZDhiMzI0N2M2YmZkOGM1ZWEwYWU0YTM0ZV8xMDYvZnJhZzo0OWE1YTY5ZTRkMDM0MzMyODk0YThhN2EzNjE0NGZjNy90ZXh0cmVnaW9uOjQ5YTVhNjllNGQwMzQzMzI4OTRhOGE3YTM2MTQ0ZmM3XzQ2Mw_5ff4f064-ade6-476d-b8e7-51162d659605</t>
        </r>
      </text>
    </comment>
    <comment ref="D80" authorId="0">
      <text>
        <r>
          <rPr>
            <sz val="10"/>
            <rFont val="Arial"/>
            <family val="2"/>
          </rPr>
          <t xml:space="preserve">Item 1 - Membership
Accession 0000909832-21-000014
Quote: "Total paid members 61,700"</t>
        </r>
      </text>
    </comment>
    <comment ref="D81" authorId="0">
      <text>
        <r>
          <rPr>
            <sz val="10"/>
            <rFont val="Arial"/>
            <family val="2"/>
          </rPr>
          <t xml:space="preserve">Item 1 - Membership
Accession 0000909832-21-000014
Quote: "Executive members totaled 25.6 million and represented 55% of paid members (excluding affiliates) in the U.S. and Canada"</t>
        </r>
      </text>
    </comment>
    <comment ref="D82" authorId="0">
      <text>
        <r>
          <rPr>
            <sz val="10"/>
            <rFont val="Arial"/>
            <family val="2"/>
          </rPr>
          <t xml:space="preserve">Item 7 MD&amp;A - Highlights table
Accession 0000909832-21-000014
Quote: "Increases in comparable sales: U.S. 15 % 8 % 8 % Canada 20 % 5 % 2 % Other International 19 % 9 % 2 % Total Company 16 %"</t>
        </r>
      </text>
    </comment>
    <comment ref="D83" authorId="0">
      <text>
        <r>
          <rPr>
            <sz val="10"/>
            <rFont val="Arial"/>
            <family val="2"/>
          </rPr>
          <t xml:space="preserve">Item 1 - Membership
Accession 0000909832-21-000014
Quote: "Our member renewal rate was 91% in the U.S. and Canada and 89% worldwide at the end of 2021"</t>
        </r>
      </text>
    </comment>
    <comment ref="E7" authorId="0">
      <text>
        <r>
          <rPr>
            <sz val="10"/>
            <rFont val="Arial"/>
            <family val="2"/>
          </rPr>
          <t xml:space="preserve">XBRL RevenueFromContractWithCustomerExcludingAssessedTax [srt:ProductOrServiceAxis=us-gaap:ProductMember]
Accession 0000909832-24-000049
https://www.sec.gov/Archives/edgar/data/909832/000090983224000049/cost-20240901.htm#f-38</t>
        </r>
      </text>
    </comment>
    <comment ref="E8" authorId="0">
      <text>
        <r>
          <rPr>
            <sz val="10"/>
            <rFont val="Arial"/>
            <family val="2"/>
          </rPr>
          <t xml:space="preserve">XBRL RevenueFromContractWithCustomerExcludingAssessedTax [srt:ProductOrServiceAxis=us-gaap:MembershipMember]
Accession 0000909832-24-000049
https://www.sec.gov/Archives/edgar/data/909832/000090983224000049/cost-20240901.htm#f-41</t>
        </r>
      </text>
    </comment>
    <comment ref="E9" authorId="0">
      <text>
        <r>
          <rPr>
            <sz val="10"/>
            <rFont val="Arial"/>
            <family val="2"/>
          </rPr>
          <t xml:space="preserve">XBRL Revenues
Accession 0000909832-24-000049
https://www.sec.gov/Archives/edgar/data/909832/000090983224000049/cost-20240901.htm#f-939</t>
        </r>
      </text>
    </comment>
    <comment ref="E10" authorId="0">
      <text>
        <r>
          <rPr>
            <sz val="10"/>
            <rFont val="Arial"/>
            <family val="2"/>
          </rPr>
          <t xml:space="preserve">XBRL CostOfGoodsAndServicesSold
Accession 0000909832-24-000049
https://www.sec.gov/Archives/edgar/data/909832/000090983224000049/cost-20240901.htm#f-47</t>
        </r>
      </text>
    </comment>
    <comment ref="E11" authorId="0">
      <text>
        <r>
          <rPr>
            <sz val="10"/>
            <rFont val="Arial"/>
            <family val="2"/>
          </rPr>
          <t xml:space="preserve">XBRL SellingGeneralAndAdministrativeExpense
Accession 0000909832-24-000049
https://www.sec.gov/Archives/edgar/data/909832/000090983224000049/cost-20240901.htm#f-50</t>
        </r>
      </text>
    </comment>
    <comment ref="E12" authorId="0">
      <text>
        <r>
          <rPr>
            <sz val="10"/>
            <rFont val="Arial"/>
            <family val="2"/>
          </rPr>
          <t xml:space="preserve">Not presented as a separate line in 0000909832-24-000049; set to 0</t>
        </r>
      </text>
    </comment>
    <comment ref="E13" authorId="0">
      <text>
        <r>
          <rPr>
            <sz val="10"/>
            <rFont val="Arial"/>
            <family val="2"/>
          </rPr>
          <t xml:space="preserve">XBRL OperatingIncomeLoss
Accession 0000909832-24-000049
https://www.sec.gov/Archives/edgar/data/909832/000090983224000049/cost-20240901.htm#f-53</t>
        </r>
      </text>
    </comment>
    <comment ref="E14" authorId="0">
      <text>
        <r>
          <rPr>
            <sz val="10"/>
            <rFont val="Arial"/>
            <family val="2"/>
          </rPr>
          <t xml:space="preserve">XBRL InterestExpense
Accession 0000909832-24-000049
https://www.sec.gov/Archives/edgar/data/909832/000090983224000049/cost-20240901.htm#f-56</t>
        </r>
      </text>
    </comment>
    <comment ref="E15" authorId="0">
      <text>
        <r>
          <rPr>
            <sz val="10"/>
            <rFont val="Arial"/>
            <family val="2"/>
          </rPr>
          <t xml:space="preserve">XBRL InterestAndOtherIncome
Accession 0000909832-24-000049
https://www.sec.gov/Archives/edgar/data/909832/000090983224000049/cost-20240901.htm#f-59</t>
        </r>
      </text>
    </comment>
    <comment ref="E16" authorId="0">
      <text>
        <r>
          <rPr>
            <sz val="10"/>
            <rFont val="Arial"/>
            <family val="2"/>
          </rPr>
          <t xml:space="preserve">XBRL IncomeLossFromContinuingOperationsBeforeIncomeTaxesExtraordinaryItemsNoncontrollingInterest
Accession 0000909832-24-000049
https://www.sec.gov/Archives/edgar/data/909832/000090983224000049/cost-20240901.htm#f-62</t>
        </r>
      </text>
    </comment>
    <comment ref="E17" authorId="0">
      <text>
        <r>
          <rPr>
            <sz val="10"/>
            <rFont val="Arial"/>
            <family val="2"/>
          </rPr>
          <t xml:space="preserve">XBRL IncomeTaxExpenseBenefit
Accession 0000909832-24-000049
https://www.sec.gov/Archives/edgar/data/909832/000090983224000049/cost-20240901.htm#f-65</t>
        </r>
      </text>
    </comment>
    <comment ref="E18" authorId="0">
      <text>
        <r>
          <rPr>
            <sz val="10"/>
            <rFont val="Arial"/>
            <family val="2"/>
          </rPr>
          <t xml:space="preserve">XBRL ProfitLoss
Accession 0000909832-24-000049
https://www.sec.gov/Archives/edgar/data/909832/000090983224000049/cost-20240901.htm#f-68</t>
        </r>
      </text>
    </comment>
    <comment ref="E19" authorId="0">
      <text>
        <r>
          <rPr>
            <sz val="10"/>
            <rFont val="Arial"/>
            <family val="2"/>
          </rPr>
          <t xml:space="preserve">XBRL NetIncomeLossAttributableToNoncontrollingInterest
Accession 0000909832-24-000049
https://www.sec.gov/Archives/edgar/data/909832/000090983224000049/cost-20240901.htm#f-71</t>
        </r>
      </text>
    </comment>
    <comment ref="E20" authorId="0">
      <text>
        <r>
          <rPr>
            <sz val="10"/>
            <rFont val="Arial"/>
            <family val="2"/>
          </rPr>
          <t xml:space="preserve">XBRL NetIncomeLoss
Accession 0000909832-24-000049
https://www.sec.gov/Archives/edgar/data/909832/000090983224000049/cost-20240901.htm#f-74</t>
        </r>
      </text>
    </comment>
    <comment ref="E21" authorId="0">
      <text>
        <r>
          <rPr>
            <sz val="10"/>
            <rFont val="Arial"/>
            <family val="2"/>
          </rPr>
          <t xml:space="preserve">XBRL EarningsPerShareBasic
Accession 0000909832-24-000049
https://www.sec.gov/Archives/edgar/data/909832/000090983224000049/cost-20240901.htm#f-77</t>
        </r>
      </text>
    </comment>
    <comment ref="E22" authorId="0">
      <text>
        <r>
          <rPr>
            <sz val="10"/>
            <rFont val="Arial"/>
            <family val="2"/>
          </rPr>
          <t xml:space="preserve">XBRL EarningsPerShareDiluted
Accession 0000909832-24-000049
https://www.sec.gov/Archives/edgar/data/909832/000090983224000049/cost-20240901.htm#f-80</t>
        </r>
      </text>
    </comment>
    <comment ref="E23" authorId="0">
      <text>
        <r>
          <rPr>
            <sz val="10"/>
            <rFont val="Arial"/>
            <family val="2"/>
          </rPr>
          <t xml:space="preserve">XBRL WeightedAverageNumberOfSharesOutstandingBasic
Accession 0000909832-24-000049
https://www.sec.gov/Archives/edgar/data/909832/000090983224000049/cost-20240901.htm#f-83</t>
        </r>
      </text>
    </comment>
    <comment ref="E24" authorId="0">
      <text>
        <r>
          <rPr>
            <sz val="10"/>
            <rFont val="Arial"/>
            <family val="2"/>
          </rPr>
          <t xml:space="preserve">XBRL WeightedAverageNumberOfDilutedSharesOutstanding
Accession 0000909832-24-000049
https://www.sec.gov/Archives/edgar/data/909832/000090983224000049/cost-20240901.htm#f-86</t>
        </r>
      </text>
    </comment>
    <comment ref="E27" authorId="0">
      <text>
        <r>
          <rPr>
            <sz val="10"/>
            <rFont val="Arial"/>
            <family val="2"/>
          </rPr>
          <t xml:space="preserve">XBRL CashAndCashEquivalentsAtCarryingValue
Accession 0000909832-23-000042
https://www.sec.gov/Archives/edgar/data/909832/000090983223000042/cost-20230903.htm#f-103</t>
        </r>
      </text>
    </comment>
    <comment ref="E28" authorId="0">
      <text>
        <r>
          <rPr>
            <sz val="10"/>
            <rFont val="Arial"/>
            <family val="2"/>
          </rPr>
          <t xml:space="preserve">XBRL ShortTermInvestments
Accession 0000909832-23-000042
https://www.sec.gov/Archives/edgar/data/909832/000090983223000042/cost-20230903.htm#f-105</t>
        </r>
      </text>
    </comment>
    <comment ref="E29" authorId="0">
      <text>
        <r>
          <rPr>
            <sz val="10"/>
            <rFont val="Arial"/>
            <family val="2"/>
          </rPr>
          <t xml:space="preserve">XBRL ReceivablesNetCurrent
Accession 0000909832-23-000042
https://www.sec.gov/Archives/edgar/data/909832/000090983223000042/cost-20230903.htm#f-107</t>
        </r>
      </text>
    </comment>
    <comment ref="E30" authorId="0">
      <text>
        <r>
          <rPr>
            <sz val="10"/>
            <rFont val="Arial"/>
            <family val="2"/>
          </rPr>
          <t xml:space="preserve">XBRL InventoryNet
Accession 0000909832-23-000042
https://www.sec.gov/Archives/edgar/data/909832/000090983223000042/cost-20230903.htm#f-109</t>
        </r>
      </text>
    </comment>
    <comment ref="E31" authorId="0">
      <text>
        <r>
          <rPr>
            <sz val="10"/>
            <rFont val="Arial"/>
            <family val="2"/>
          </rPr>
          <t xml:space="preserve">XBRL OtherAssetsCurrent
Accession 0000909832-23-000042
https://www.sec.gov/Archives/edgar/data/909832/000090983223000042/cost-20230903.htm#f-111</t>
        </r>
      </text>
    </comment>
    <comment ref="E32" authorId="0">
      <text>
        <r>
          <rPr>
            <sz val="10"/>
            <rFont val="Arial"/>
            <family val="2"/>
          </rPr>
          <t xml:space="preserve">XBRL AssetsCurrent
Accession 0000909832-23-000042
https://www.sec.gov/Archives/edgar/data/909832/000090983223000042/cost-20230903.htm#f-113</t>
        </r>
      </text>
    </comment>
    <comment ref="E33" authorId="0">
      <text>
        <r>
          <rPr>
            <sz val="10"/>
            <rFont val="Arial"/>
            <family val="2"/>
          </rPr>
          <t xml:space="preserve">XBRL PropertyPlantAndEquipmentNet
Accession 0000909832-23-000042
https://www.sec.gov/Archives/edgar/data/909832/000090983223000042/cost-20230903.htm#f-115</t>
        </r>
      </text>
    </comment>
    <comment ref="E34" authorId="0">
      <text>
        <r>
          <rPr>
            <sz val="10"/>
            <rFont val="Arial"/>
            <family val="2"/>
          </rPr>
          <t xml:space="preserve">XBRL OperatingLeaseRightOfUseAsset
Accession 0000909832-23-000042
https://www.sec.gov/Archives/edgar/data/909832/000090983223000042/cost-20230903.htm#f-117</t>
        </r>
      </text>
    </comment>
    <comment ref="E35" authorId="0">
      <text>
        <r>
          <rPr>
            <sz val="10"/>
            <rFont val="Arial"/>
            <family val="2"/>
          </rPr>
          <t xml:space="preserve">XBRL OtherAssetsNoncurrent
Accession 0000909832-23-000042
https://www.sec.gov/Archives/edgar/data/909832/000090983223000042/cost-20230903.htm#f-119</t>
        </r>
      </text>
    </comment>
    <comment ref="E36" authorId="0">
      <text>
        <r>
          <rPr>
            <sz val="10"/>
            <rFont val="Arial"/>
            <family val="2"/>
          </rPr>
          <t xml:space="preserve">XBRL Assets
Accession 0000909832-23-000042
https://www.sec.gov/Archives/edgar/data/909832/000090983223000042/cost-20230903.htm#f-121</t>
        </r>
      </text>
    </comment>
    <comment ref="E37" authorId="0">
      <text>
        <r>
          <rPr>
            <sz val="10"/>
            <rFont val="Arial"/>
            <family val="2"/>
          </rPr>
          <t xml:space="preserve">XBRL AccountsPayableCurrent
Accession 0000909832-23-000042
https://www.sec.gov/Archives/edgar/data/909832/000090983223000042/cost-20230903.htm#f-123</t>
        </r>
      </text>
    </comment>
    <comment ref="E38" authorId="0">
      <text>
        <r>
          <rPr>
            <sz val="10"/>
            <rFont val="Arial"/>
            <family val="2"/>
          </rPr>
          <t xml:space="preserve">XBRL EmployeeRelatedLiabilitiesCurrent
Accession 0000909832-23-000042
https://www.sec.gov/Archives/edgar/data/909832/000090983223000042/cost-20230903.htm#f-125</t>
        </r>
      </text>
    </comment>
    <comment ref="E39" authorId="0">
      <text>
        <r>
          <rPr>
            <sz val="10"/>
            <rFont val="Arial"/>
            <family val="2"/>
          </rPr>
          <t xml:space="preserve">XBRL AccruedLiabilitiesCurrent
Accession 0000909832-23-000042
https://www.sec.gov/Archives/edgar/data/909832/000090983223000042/cost-20230903.htm#f-127</t>
        </r>
      </text>
    </comment>
    <comment ref="E40" authorId="0">
      <text>
        <r>
          <rPr>
            <sz val="10"/>
            <rFont val="Arial"/>
            <family val="2"/>
          </rPr>
          <t xml:space="preserve">XBRL DeferredRevenueCurrent
Accession 0000909832-23-000042
https://www.sec.gov/Archives/edgar/data/909832/000090983223000042/cost-20230903.htm#f-129</t>
        </r>
      </text>
    </comment>
    <comment ref="E41" authorId="0">
      <text>
        <r>
          <rPr>
            <sz val="10"/>
            <rFont val="Arial"/>
            <family val="2"/>
          </rPr>
          <t xml:space="preserve">XBRL LongTermDebtCurrent
Accession 0000909832-23-000042
https://www.sec.gov/Archives/edgar/data/909832/000090983223000042/cost-20230903.htm#f-131</t>
        </r>
      </text>
    </comment>
    <comment ref="E42" authorId="0">
      <text>
        <r>
          <rPr>
            <sz val="10"/>
            <rFont val="Arial"/>
            <family val="2"/>
          </rPr>
          <t xml:space="preserve">XBRL OtherLiabilitiesCurrent
Accession 0000909832-23-000042
https://www.sec.gov/Archives/edgar/data/909832/000090983223000042/cost-20230903.htm#f-133</t>
        </r>
      </text>
    </comment>
    <comment ref="E43" authorId="0">
      <text>
        <r>
          <rPr>
            <sz val="10"/>
            <rFont val="Arial"/>
            <family val="2"/>
          </rPr>
          <t xml:space="preserve">XBRL LiabilitiesCurrent
Accession 0000909832-23-000042
https://www.sec.gov/Archives/edgar/data/909832/000090983223000042/cost-20230903.htm#f-135</t>
        </r>
      </text>
    </comment>
    <comment ref="E44" authorId="0">
      <text>
        <r>
          <rPr>
            <sz val="10"/>
            <rFont val="Arial"/>
            <family val="2"/>
          </rPr>
          <t xml:space="preserve">XBRL LongTermDebtNoncurrent
Accession 0000909832-23-000042
https://www.sec.gov/Archives/edgar/data/909832/000090983223000042/cost-20230903.htm#f-137</t>
        </r>
      </text>
    </comment>
    <comment ref="E45" authorId="0">
      <text>
        <r>
          <rPr>
            <sz val="10"/>
            <rFont val="Arial"/>
            <family val="2"/>
          </rPr>
          <t xml:space="preserve">XBRL OperatingLeaseLiabilityNoncurrent
Accession 0000909832-23-000042
https://www.sec.gov/Archives/edgar/data/909832/000090983223000042/cost-20230903.htm#f-139</t>
        </r>
      </text>
    </comment>
    <comment ref="E46" authorId="0">
      <text>
        <r>
          <rPr>
            <sz val="10"/>
            <rFont val="Arial"/>
            <family val="2"/>
          </rPr>
          <t xml:space="preserve">XBRL OtherLiabilitiesNoncurrent
Accession 0000909832-23-000042
https://www.sec.gov/Archives/edgar/data/909832/000090983223000042/cost-20230903.htm#f-141</t>
        </r>
      </text>
    </comment>
    <comment ref="E47" authorId="0">
      <text>
        <r>
          <rPr>
            <sz val="10"/>
            <rFont val="Arial"/>
            <family val="2"/>
          </rPr>
          <t xml:space="preserve">XBRL Liabilities
Accession 0000909832-23-000042
https://www.sec.gov/Archives/edgar/data/909832/000090983223000042/cost-20230903.htm#f-143</t>
        </r>
      </text>
    </comment>
    <comment ref="E48" authorId="0">
      <text>
        <r>
          <rPr>
            <sz val="10"/>
            <rFont val="Arial"/>
            <family val="2"/>
          </rPr>
          <t xml:space="preserve">XBRL StockholdersEquity
Accession 0000909832-23-000042
https://www.sec.gov/Archives/edgar/data/909832/000090983223000042/cost-20230903.htm#f-161</t>
        </r>
      </text>
    </comment>
    <comment ref="E49" authorId="0">
      <text>
        <r>
          <rPr>
            <sz val="10"/>
            <rFont val="Arial"/>
            <family val="2"/>
          </rPr>
          <t xml:space="preserve">XBRL MinorityInterest
Accession 0000909832-23-000042
https://www.sec.gov/Archives/edgar/data/909832/000090983223000042/cost-20230903.htm#f-163</t>
        </r>
      </text>
    </comment>
    <comment ref="E50" authorId="0">
      <text>
        <r>
          <rPr>
            <sz val="10"/>
            <rFont val="Arial"/>
            <family val="2"/>
          </rPr>
          <t xml:space="preserve">XBRL StockholdersEquityIncludingPortionAttributableToNoncontrollingInterest
Accession 0000909832-23-000042
https://www.sec.gov/Archives/edgar/data/909832/000090983223000042/cost-20230903.htm#f-165</t>
        </r>
      </text>
    </comment>
    <comment ref="E51" authorId="0">
      <text>
        <r>
          <rPr>
            <sz val="10"/>
            <rFont val="Arial"/>
            <family val="2"/>
          </rPr>
          <t xml:space="preserve">XBRL LiabilitiesAndStockholdersEquity
Accession 0000909832-23-000042
https://www.sec.gov/Archives/edgar/data/909832/000090983223000042/cost-20230903.htm#f-167</t>
        </r>
      </text>
    </comment>
    <comment ref="E52" authorId="0">
      <text>
        <r>
          <rPr>
            <sz val="10"/>
            <rFont val="Arial"/>
            <family val="2"/>
          </rPr>
          <t xml:space="preserve">XBRL CommonStockSharesOutstanding
Accession 0000909832-23-000042
https://www.sec.gov/Archives/edgar/data/909832/000090983223000042/cost-20230903.htm#f-183</t>
        </r>
      </text>
    </comment>
    <comment ref="E55" authorId="0">
      <text>
        <r>
          <rPr>
            <sz val="10"/>
            <rFont val="Arial"/>
            <family val="2"/>
          </rPr>
          <t xml:space="preserve">XBRL NetCashProvidedByUsedInOperatingActivities
Accession 0000909832-24-000049
https://www.sec.gov/Archives/edgar/data/909832/000090983224000049/cost-20240901.htm#f-314</t>
        </r>
      </text>
    </comment>
    <comment ref="E56" authorId="0">
      <text>
        <r>
          <rPr>
            <sz val="10"/>
            <rFont val="Arial"/>
            <family val="2"/>
          </rPr>
          <t xml:space="preserve">XBRL DepreciationDepletionAndAmortization
Accession 0000909832-24-000049
https://www.sec.gov/Archives/edgar/data/909832/000090983224000049/cost-20240901.htm#f-293</t>
        </r>
      </text>
    </comment>
    <comment ref="E57" authorId="0">
      <text>
        <r>
          <rPr>
            <sz val="10"/>
            <rFont val="Arial"/>
            <family val="2"/>
          </rPr>
          <t xml:space="preserve">XBRL ShareBasedCompensation
Accession 0000909832-24-000049
https://www.sec.gov/Archives/edgar/data/909832/000090983224000049/cost-20240901.htm#f-299</t>
        </r>
      </text>
    </comment>
    <comment ref="E58" authorId="0">
      <text>
        <r>
          <rPr>
            <sz val="10"/>
            <rFont val="Arial"/>
            <family val="2"/>
          </rPr>
          <t xml:space="preserve">XBRL IncreaseDecreaseInInventories
Accession 0000909832-24-000049
https://www.sec.gov/Archives/edgar/data/909832/000090983224000049/cost-20240901.htm#f-305</t>
        </r>
      </text>
    </comment>
    <comment ref="E59" authorId="0">
      <text>
        <r>
          <rPr>
            <sz val="10"/>
            <rFont val="Arial"/>
            <family val="2"/>
          </rPr>
          <t xml:space="preserve">XBRL IncreaseDecreaseInAccountsPayable
Accession 0000909832-24-000049
https://www.sec.gov/Archives/edgar/data/909832/000090983224000049/cost-20240901.htm#f-308</t>
        </r>
      </text>
    </comment>
    <comment ref="E60" authorId="0">
      <text>
        <r>
          <rPr>
            <sz val="10"/>
            <rFont val="Arial"/>
            <family val="2"/>
          </rPr>
          <t xml:space="preserve">XBRL IncreaseDecreaseInOtherOperatingCapitalNet
Accession 0000909832-24-000049
https://www.sec.gov/Archives/edgar/data/909832/000090983224000049/cost-20240901.htm#f-311</t>
        </r>
      </text>
    </comment>
    <comment ref="E61" authorId="0">
      <text>
        <r>
          <rPr>
            <sz val="10"/>
            <rFont val="Arial"/>
            <family val="2"/>
          </rPr>
          <t xml:space="preserve">XBRL PaymentsToAcquirePropertyPlantAndEquipment
Accession 0000909832-24-000049
https://www.sec.gov/Archives/edgar/data/909832/000090983224000049/cost-20240901.htm#f-323</t>
        </r>
      </text>
    </comment>
    <comment ref="E62" authorId="0">
      <text>
        <r>
          <rPr>
            <sz val="10"/>
            <rFont val="Arial"/>
            <family val="2"/>
          </rPr>
          <t xml:space="preserve">XBRL NetCashProvidedByUsedInInvestingActivities
Accession 0000909832-24-000049
https://www.sec.gov/Archives/edgar/data/909832/000090983224000049/cost-20240901.htm#f-329</t>
        </r>
      </text>
    </comment>
    <comment ref="E63" authorId="0">
      <text>
        <r>
          <rPr>
            <sz val="10"/>
            <rFont val="Arial"/>
            <family val="2"/>
          </rPr>
          <t xml:space="preserve">XBRL PaymentsOfDividendsCommonStock
Accession 0000909832-24-000049
https://www.sec.gov/Archives/edgar/data/909832/000090983224000049/cost-20240901.htm#f-350</t>
        </r>
      </text>
    </comment>
    <comment ref="E64" authorId="0">
      <text>
        <r>
          <rPr>
            <sz val="10"/>
            <rFont val="Arial"/>
            <family val="2"/>
          </rPr>
          <t xml:space="preserve">XBRL PaymentsForRepurchaseOfCommonStock
Accession 0000909832-24-000049
https://www.sec.gov/Archives/edgar/data/909832/000090983224000049/cost-20240901.htm#f-347</t>
        </r>
      </text>
    </comment>
    <comment ref="E65" authorId="0">
      <text>
        <r>
          <rPr>
            <sz val="10"/>
            <rFont val="Arial"/>
            <family val="2"/>
          </rPr>
          <t xml:space="preserve">XBRL ProceedsFromIssuanceOfLongTermDebt
Accession 0000909832-24-000049
https://www.sec.gov/Archives/edgar/data/909832/000090983224000049/cost-20240901.htm#f-341</t>
        </r>
      </text>
    </comment>
    <comment ref="E66" authorId="0">
      <text>
        <r>
          <rPr>
            <sz val="10"/>
            <rFont val="Arial"/>
            <family val="2"/>
          </rPr>
          <t xml:space="preserve">XBRL RepaymentsOfLongTermDebt
Accession 0000909832-24-000049
https://www.sec.gov/Archives/edgar/data/909832/000090983224000049/cost-20240901.htm#f-338</t>
        </r>
      </text>
    </comment>
    <comment ref="E67" authorId="0">
      <text>
        <r>
          <rPr>
            <sz val="10"/>
            <rFont val="Arial"/>
            <family val="2"/>
          </rPr>
          <t xml:space="preserve">XBRL NetCashProvidedByUsedInFinancingActivities
Accession 0000909832-24-000049
https://www.sec.gov/Archives/edgar/data/909832/000090983224000049/cost-20240901.htm#f-362</t>
        </r>
      </text>
    </comment>
    <comment ref="E68" authorId="0">
      <text>
        <r>
          <rPr>
            <sz val="10"/>
            <rFont val="Arial"/>
            <family val="2"/>
          </rPr>
          <t xml:space="preserve">XBRL EffectOfExchangeRateOnCashCashEquivalentsRestrictedCashAndRestrictedCashEquivalents
Accession 0000909832-24-000049
https://www.sec.gov/Archives/edgar/data/909832/000090983224000049/cost-20240901.htm#f-365</t>
        </r>
      </text>
    </comment>
    <comment ref="E69" authorId="0">
      <text>
        <r>
          <rPr>
            <sz val="10"/>
            <rFont val="Arial"/>
            <family val="2"/>
          </rPr>
          <t xml:space="preserve">XBRL CashCashEquivalentsRestrictedCashAndRestrictedCashEquivalentsPeriodIncreaseDecreaseIncludingExchangeRateEffect
Accession 0000909832-24-000049
https://www.sec.gov/Archives/edgar/data/909832/000090983224000049/cost-20240901.htm#f-368</t>
        </r>
      </text>
    </comment>
    <comment ref="E70" authorId="0">
      <text>
        <r>
          <rPr>
            <sz val="10"/>
            <rFont val="Arial"/>
            <family val="2"/>
          </rPr>
          <t xml:space="preserve">XBRL IncomeTaxesPaid
Accession 0000909832-24-000049
https://www.sec.gov/Archives/edgar/data/909832/000090983224000049/cost-20240901.htm#f-380</t>
        </r>
      </text>
    </comment>
    <comment ref="E71" authorId="0">
      <text>
        <r>
          <rPr>
            <sz val="10"/>
            <rFont val="Arial"/>
            <family val="2"/>
          </rPr>
          <t xml:space="preserve">XBRL InterestPaidNet
Accession 0000909832-24-000049
https://www.sec.gov/Archives/edgar/data/909832/000090983224000049/cost-20240901.htm#f-377</t>
        </r>
      </text>
    </comment>
    <comment ref="E74" authorId="0">
      <text>
        <r>
          <rPr>
            <sz val="10"/>
            <rFont val="Arial"/>
            <family val="2"/>
          </rPr>
          <t xml:space="preserve">XBRL OperatingLeaseLiability
Accession 0000909832-22-000021
https://www.sec.gov/Archives/edgar/data/909832/000090983222000021/cost-20220828.htm#id3VybDovL2RvY3MudjEvZG9jOjdmOTI4MjJkZGY4NDRjMjQ5MTI2MjdiZjY4NTA5YjU2L3NlYzo3ZjkyODIyZGRmODQ0YzI0OTEyNjI3YmY2ODUwOWI1Nl8xMjcvZnJhZzowYjVjM2NhMmUwZTI0MDU1ODkwNjQ2ODkwNjE2MTc2MC90YWJsZTpmNmI1NWIwZTI4YmI0MDkwYTdjYTZkMjAzNDY4OTBlOC90YWJsZXJhbmdlOmY2YjU1YjBlMjhiYjQwOTBhN2NhNmQyMDM0Njg5MGU4XzktMS0xLTEtNTUwNzE_ef33c9e6-aab4-49fb-a8f3-37b1c9e1c793</t>
        </r>
      </text>
    </comment>
    <comment ref="E75" authorId="0">
      <text>
        <r>
          <rPr>
            <sz val="10"/>
            <rFont val="Arial"/>
            <family val="2"/>
          </rPr>
          <t xml:space="preserve">XBRL OperatingLeaseandFinanceLeaseLiabilities
Accession 0000909832-23-000042
https://www.sec.gov/Archives/edgar/data/909832/000090983223000042/cost-20230903.htm#f-611</t>
        </r>
      </text>
    </comment>
    <comment ref="E76" authorId="0">
      <text>
        <r>
          <rPr>
            <sz val="10"/>
            <rFont val="Arial"/>
            <family val="2"/>
          </rPr>
          <t xml:space="preserve">Derived: total lease liabilities - operating lease liabilities (both tagged in the lease note)</t>
        </r>
      </text>
    </comment>
    <comment ref="E79" authorId="0">
      <text>
        <r>
          <rPr>
            <sz val="10"/>
            <rFont val="Arial"/>
            <family val="2"/>
          </rPr>
          <t xml:space="preserve">XBRL us-gaap:NumberOfStores
Accession 0000909832-22-000021
https://www.sec.gov/Archives/edgar/data/909832/000090983222000021/cost-20220828.htm#id3VybDovL2RvY3MudjEvZG9jOjdmOTI4MjJkZGY4NDRjMjQ5MTI2MjdiZjY4NTA5YjU2L3NlYzo3ZjkyODIyZGRmODQ0YzI0OTEyNjI3YmY2ODUwOWI1Nl8xMDMvZnJhZzpkZWIwY2EwZjRiMGQ0YzQyOTAyYjdkMTYxZjVlMDA1Yi90ZXh0cmVnaW9uOmRlYjBjYTBmNGIwZDRjNDI5MDJiN2QxNjFmNWUwMDViXzQ2Mw_da06108a-3314-4c94-85ff-5497bfc7c252</t>
        </r>
      </text>
    </comment>
    <comment ref="E80" authorId="0">
      <text>
        <r>
          <rPr>
            <sz val="10"/>
            <rFont val="Arial"/>
            <family val="2"/>
          </rPr>
          <t xml:space="preserve">Item 1 - Membership
Accession 0000909832-22-000021
Quote: "Total paid members 65,800"</t>
        </r>
      </text>
    </comment>
    <comment ref="E81" authorId="0">
      <text>
        <r>
          <rPr>
            <sz val="10"/>
            <rFont val="Arial"/>
            <family val="2"/>
          </rPr>
          <t xml:space="preserve">Item 1 - Membership
Accession 0000909832-22-000021
Quote: "Executive members totaled 29.1 million and represented 57% of paid members (excluding affiliates) in the U.S. and Canada"</t>
        </r>
      </text>
    </comment>
    <comment ref="E82" authorId="0">
      <text>
        <r>
          <rPr>
            <sz val="10"/>
            <rFont val="Arial"/>
            <family val="2"/>
          </rPr>
          <t xml:space="preserve">Item 7 MD&amp;A - Highlights table
Accession 0000909832-22-000021
Quote: "Increases in comparable sales: U.S. 16 % 15 % 8 % Canada 15 % 20 % 5 % Other International 7 % 19 % 9 % Total Company 14 %"</t>
        </r>
      </text>
    </comment>
    <comment ref="E83" authorId="0">
      <text>
        <r>
          <rPr>
            <sz val="10"/>
            <rFont val="Arial"/>
            <family val="2"/>
          </rPr>
          <t xml:space="preserve">Item 1 - Membership
Accession 0000909832-22-000021
Quote: "Our member renewal rate was 93% in the U.S. and Canada and 90% worldwide at the end of 2022"</t>
        </r>
      </text>
    </comment>
    <comment ref="F7" authorId="0">
      <text>
        <r>
          <rPr>
            <sz val="10"/>
            <rFont val="Arial"/>
            <family val="2"/>
          </rPr>
          <t xml:space="preserve">XBRL RevenueFromContractWithCustomerExcludingAssessedTax [srt:ProductOrServiceAxis=us-gaap:ProductMember]
Accession 0000909832-24-000049
https://www.sec.gov/Archives/edgar/data/909832/000090983224000049/cost-20240901.htm#f-37</t>
        </r>
      </text>
    </comment>
    <comment ref="F8" authorId="0">
      <text>
        <r>
          <rPr>
            <sz val="10"/>
            <rFont val="Arial"/>
            <family val="2"/>
          </rPr>
          <t xml:space="preserve">XBRL RevenueFromContractWithCustomerExcludingAssessedTax [srt:ProductOrServiceAxis=us-gaap:MembershipMember]
Accession 0000909832-24-000049
https://www.sec.gov/Archives/edgar/data/909832/000090983224000049/cost-20240901.htm#f-40</t>
        </r>
      </text>
    </comment>
    <comment ref="F9" authorId="0">
      <text>
        <r>
          <rPr>
            <sz val="10"/>
            <rFont val="Arial"/>
            <family val="2"/>
          </rPr>
          <t xml:space="preserve">XBRL Revenues
Accession 0000909832-24-000049
https://www.sec.gov/Archives/edgar/data/909832/000090983224000049/cost-20240901.htm#f-915</t>
        </r>
      </text>
    </comment>
    <comment ref="F10" authorId="0">
      <text>
        <r>
          <rPr>
            <sz val="10"/>
            <rFont val="Arial"/>
            <family val="2"/>
          </rPr>
          <t xml:space="preserve">XBRL CostOfGoodsAndServicesSold
Accession 0000909832-24-000049
https://www.sec.gov/Archives/edgar/data/909832/000090983224000049/cost-20240901.htm#f-46</t>
        </r>
      </text>
    </comment>
    <comment ref="F11" authorId="0">
      <text>
        <r>
          <rPr>
            <sz val="10"/>
            <rFont val="Arial"/>
            <family val="2"/>
          </rPr>
          <t xml:space="preserve">XBRL SellingGeneralAndAdministrativeExpense
Accession 0000909832-24-000049
https://www.sec.gov/Archives/edgar/data/909832/000090983224000049/cost-20240901.htm#f-49</t>
        </r>
      </text>
    </comment>
    <comment ref="F12" authorId="0">
      <text>
        <r>
          <rPr>
            <sz val="10"/>
            <rFont val="Arial"/>
            <family val="2"/>
          </rPr>
          <t xml:space="preserve">Not presented as a separate line in 0000909832-24-000049; set to 0</t>
        </r>
      </text>
    </comment>
    <comment ref="F13" authorId="0">
      <text>
        <r>
          <rPr>
            <sz val="10"/>
            <rFont val="Arial"/>
            <family val="2"/>
          </rPr>
          <t xml:space="preserve">XBRL OperatingIncomeLoss
Accession 0000909832-24-000049
https://www.sec.gov/Archives/edgar/data/909832/000090983224000049/cost-20240901.htm#f-52</t>
        </r>
      </text>
    </comment>
    <comment ref="F14" authorId="0">
      <text>
        <r>
          <rPr>
            <sz val="10"/>
            <rFont val="Arial"/>
            <family val="2"/>
          </rPr>
          <t xml:space="preserve">XBRL InterestExpense
Accession 0000909832-24-000049
https://www.sec.gov/Archives/edgar/data/909832/000090983224000049/cost-20240901.htm#f-55</t>
        </r>
      </text>
    </comment>
    <comment ref="F15" authorId="0">
      <text>
        <r>
          <rPr>
            <sz val="10"/>
            <rFont val="Arial"/>
            <family val="2"/>
          </rPr>
          <t xml:space="preserve">XBRL InterestAndOtherIncome
Accession 0000909832-24-000049
https://www.sec.gov/Archives/edgar/data/909832/000090983224000049/cost-20240901.htm#f-58</t>
        </r>
      </text>
    </comment>
    <comment ref="F16" authorId="0">
      <text>
        <r>
          <rPr>
            <sz val="10"/>
            <rFont val="Arial"/>
            <family val="2"/>
          </rPr>
          <t xml:space="preserve">XBRL IncomeLossFromContinuingOperationsBeforeIncomeTaxesExtraordinaryItemsNoncontrollingInterest
Accession 0000909832-24-000049
https://www.sec.gov/Archives/edgar/data/909832/000090983224000049/cost-20240901.htm#f-61</t>
        </r>
      </text>
    </comment>
    <comment ref="F17" authorId="0">
      <text>
        <r>
          <rPr>
            <sz val="10"/>
            <rFont val="Arial"/>
            <family val="2"/>
          </rPr>
          <t xml:space="preserve">XBRL IncomeTaxExpenseBenefit
Accession 0000909832-24-000049
https://www.sec.gov/Archives/edgar/data/909832/000090983224000049/cost-20240901.htm#f-64</t>
        </r>
      </text>
    </comment>
    <comment ref="F18" authorId="0">
      <text>
        <r>
          <rPr>
            <sz val="10"/>
            <rFont val="Arial"/>
            <family val="2"/>
          </rPr>
          <t xml:space="preserve">XBRL ProfitLoss
Accession 0000909832-24-000049
https://www.sec.gov/Archives/edgar/data/909832/000090983224000049/cost-20240901.htm#f-67</t>
        </r>
      </text>
    </comment>
    <comment ref="F19" authorId="0">
      <text>
        <r>
          <rPr>
            <sz val="10"/>
            <rFont val="Arial"/>
            <family val="2"/>
          </rPr>
          <t xml:space="preserve">XBRL NetIncomeLossAttributableToNoncontrollingInterest
Accession 0000909832-24-000049
https://www.sec.gov/Archives/edgar/data/909832/000090983224000049/cost-20240901.htm#f-70</t>
        </r>
      </text>
    </comment>
    <comment ref="F20" authorId="0">
      <text>
        <r>
          <rPr>
            <sz val="10"/>
            <rFont val="Arial"/>
            <family val="2"/>
          </rPr>
          <t xml:space="preserve">XBRL NetIncomeLoss
Accession 0000909832-24-000049
https://www.sec.gov/Archives/edgar/data/909832/000090983224000049/cost-20240901.htm#f-73</t>
        </r>
      </text>
    </comment>
    <comment ref="F21" authorId="0">
      <text>
        <r>
          <rPr>
            <sz val="10"/>
            <rFont val="Arial"/>
            <family val="2"/>
          </rPr>
          <t xml:space="preserve">XBRL EarningsPerShareBasic
Accession 0000909832-24-000049
https://www.sec.gov/Archives/edgar/data/909832/000090983224000049/cost-20240901.htm#f-76</t>
        </r>
      </text>
    </comment>
    <comment ref="F22" authorId="0">
      <text>
        <r>
          <rPr>
            <sz val="10"/>
            <rFont val="Arial"/>
            <family val="2"/>
          </rPr>
          <t xml:space="preserve">XBRL EarningsPerShareDiluted
Accession 0000909832-24-000049
https://www.sec.gov/Archives/edgar/data/909832/000090983224000049/cost-20240901.htm#f-79</t>
        </r>
      </text>
    </comment>
    <comment ref="F23" authorId="0">
      <text>
        <r>
          <rPr>
            <sz val="10"/>
            <rFont val="Arial"/>
            <family val="2"/>
          </rPr>
          <t xml:space="preserve">XBRL WeightedAverageNumberOfSharesOutstandingBasic
Accession 0000909832-24-000049
https://www.sec.gov/Archives/edgar/data/909832/000090983224000049/cost-20240901.htm#f-82</t>
        </r>
      </text>
    </comment>
    <comment ref="F24" authorId="0">
      <text>
        <r>
          <rPr>
            <sz val="10"/>
            <rFont val="Arial"/>
            <family val="2"/>
          </rPr>
          <t xml:space="preserve">XBRL WeightedAverageNumberOfDilutedSharesOutstanding
Accession 0000909832-24-000049
https://www.sec.gov/Archives/edgar/data/909832/000090983224000049/cost-20240901.htm#f-85</t>
        </r>
      </text>
    </comment>
    <comment ref="F27" authorId="0">
      <text>
        <r>
          <rPr>
            <sz val="10"/>
            <rFont val="Arial"/>
            <family val="2"/>
          </rPr>
          <t xml:space="preserve">XBRL CashAndCashEquivalentsAtCarryingValue
Accession 0000909832-24-000049
https://www.sec.gov/Archives/edgar/data/909832/000090983224000049/cost-20240901.htm#f-103</t>
        </r>
      </text>
    </comment>
    <comment ref="F28" authorId="0">
      <text>
        <r>
          <rPr>
            <sz val="10"/>
            <rFont val="Arial"/>
            <family val="2"/>
          </rPr>
          <t xml:space="preserve">XBRL ShortTermInvestments
Accession 0000909832-24-000049
https://www.sec.gov/Archives/edgar/data/909832/000090983224000049/cost-20240901.htm#f-105</t>
        </r>
      </text>
    </comment>
    <comment ref="F29" authorId="0">
      <text>
        <r>
          <rPr>
            <sz val="10"/>
            <rFont val="Arial"/>
            <family val="2"/>
          </rPr>
          <t xml:space="preserve">XBRL ReceivablesNetCurrent
Accession 0000909832-24-000049
https://www.sec.gov/Archives/edgar/data/909832/000090983224000049/cost-20240901.htm#f-107</t>
        </r>
      </text>
    </comment>
    <comment ref="F30" authorId="0">
      <text>
        <r>
          <rPr>
            <sz val="10"/>
            <rFont val="Arial"/>
            <family val="2"/>
          </rPr>
          <t xml:space="preserve">XBRL InventoryNet
Accession 0000909832-24-000049
https://www.sec.gov/Archives/edgar/data/909832/000090983224000049/cost-20240901.htm#f-109</t>
        </r>
      </text>
    </comment>
    <comment ref="F31" authorId="0">
      <text>
        <r>
          <rPr>
            <sz val="10"/>
            <rFont val="Arial"/>
            <family val="2"/>
          </rPr>
          <t xml:space="preserve">XBRL OtherAssetsCurrent
Accession 0000909832-24-000049
https://www.sec.gov/Archives/edgar/data/909832/000090983224000049/cost-20240901.htm#f-111</t>
        </r>
      </text>
    </comment>
    <comment ref="F32" authorId="0">
      <text>
        <r>
          <rPr>
            <sz val="10"/>
            <rFont val="Arial"/>
            <family val="2"/>
          </rPr>
          <t xml:space="preserve">XBRL AssetsCurrent
Accession 0000909832-24-000049
https://www.sec.gov/Archives/edgar/data/909832/000090983224000049/cost-20240901.htm#f-113</t>
        </r>
      </text>
    </comment>
    <comment ref="F33" authorId="0">
      <text>
        <r>
          <rPr>
            <sz val="10"/>
            <rFont val="Arial"/>
            <family val="2"/>
          </rPr>
          <t xml:space="preserve">XBRL PropertyPlantAndEquipmentNet
Accession 0000909832-24-000049
https://www.sec.gov/Archives/edgar/data/909832/000090983224000049/cost-20240901.htm#f-115</t>
        </r>
      </text>
    </comment>
    <comment ref="F34" authorId="0">
      <text>
        <r>
          <rPr>
            <sz val="10"/>
            <rFont val="Arial"/>
            <family val="2"/>
          </rPr>
          <t xml:space="preserve">XBRL OperatingLeaseRightOfUseAsset
Accession 0000909832-24-000049
https://www.sec.gov/Archives/edgar/data/909832/000090983224000049/cost-20240901.htm#f-117</t>
        </r>
      </text>
    </comment>
    <comment ref="F35" authorId="0">
      <text>
        <r>
          <rPr>
            <sz val="10"/>
            <rFont val="Arial"/>
            <family val="2"/>
          </rPr>
          <t xml:space="preserve">XBRL OtherAssetsNoncurrent
Accession 0000909832-24-000049
https://www.sec.gov/Archives/edgar/data/909832/000090983224000049/cost-20240901.htm#f-119</t>
        </r>
      </text>
    </comment>
    <comment ref="F36" authorId="0">
      <text>
        <r>
          <rPr>
            <sz val="10"/>
            <rFont val="Arial"/>
            <family val="2"/>
          </rPr>
          <t xml:space="preserve">XBRL Assets
Accession 0000909832-24-000049
https://www.sec.gov/Archives/edgar/data/909832/000090983224000049/cost-20240901.htm#f-121</t>
        </r>
      </text>
    </comment>
    <comment ref="F37" authorId="0">
      <text>
        <r>
          <rPr>
            <sz val="10"/>
            <rFont val="Arial"/>
            <family val="2"/>
          </rPr>
          <t xml:space="preserve">XBRL AccountsPayableCurrent
Accession 0000909832-24-000049
https://www.sec.gov/Archives/edgar/data/909832/000090983224000049/cost-20240901.htm#f-123</t>
        </r>
      </text>
    </comment>
    <comment ref="F38" authorId="0">
      <text>
        <r>
          <rPr>
            <sz val="10"/>
            <rFont val="Arial"/>
            <family val="2"/>
          </rPr>
          <t xml:space="preserve">XBRL EmployeeRelatedLiabilitiesCurrent
Accession 0000909832-24-000049
https://www.sec.gov/Archives/edgar/data/909832/000090983224000049/cost-20240901.htm#f-125</t>
        </r>
      </text>
    </comment>
    <comment ref="F39" authorId="0">
      <text>
        <r>
          <rPr>
            <sz val="10"/>
            <rFont val="Arial"/>
            <family val="2"/>
          </rPr>
          <t xml:space="preserve">XBRL AccruedLiabilitiesCurrent
Accession 0000909832-24-000049
https://www.sec.gov/Archives/edgar/data/909832/000090983224000049/cost-20240901.htm#f-127</t>
        </r>
      </text>
    </comment>
    <comment ref="F40" authorId="0">
      <text>
        <r>
          <rPr>
            <sz val="10"/>
            <rFont val="Arial"/>
            <family val="2"/>
          </rPr>
          <t xml:space="preserve">XBRL DeferredRevenueCurrent
Accession 0000909832-24-000049
https://www.sec.gov/Archives/edgar/data/909832/000090983224000049/cost-20240901.htm#f-129</t>
        </r>
      </text>
    </comment>
    <comment ref="F41" authorId="0">
      <text>
        <r>
          <rPr>
            <sz val="10"/>
            <rFont val="Arial"/>
            <family val="2"/>
          </rPr>
          <t xml:space="preserve">XBRL LongTermDebtCurrent
Accession 0000909832-24-000049
https://www.sec.gov/Archives/edgar/data/909832/000090983224000049/cost-20240901.htm#f-131</t>
        </r>
      </text>
    </comment>
    <comment ref="F42" authorId="0">
      <text>
        <r>
          <rPr>
            <sz val="10"/>
            <rFont val="Arial"/>
            <family val="2"/>
          </rPr>
          <t xml:space="preserve">XBRL OtherLiabilitiesCurrent
Accession 0000909832-24-000049
https://www.sec.gov/Archives/edgar/data/909832/000090983224000049/cost-20240901.htm#f-133</t>
        </r>
      </text>
    </comment>
    <comment ref="F43" authorId="0">
      <text>
        <r>
          <rPr>
            <sz val="10"/>
            <rFont val="Arial"/>
            <family val="2"/>
          </rPr>
          <t xml:space="preserve">XBRL LiabilitiesCurrent
Accession 0000909832-24-000049
https://www.sec.gov/Archives/edgar/data/909832/000090983224000049/cost-20240901.htm#f-135</t>
        </r>
      </text>
    </comment>
    <comment ref="F44" authorId="0">
      <text>
        <r>
          <rPr>
            <sz val="10"/>
            <rFont val="Arial"/>
            <family val="2"/>
          </rPr>
          <t xml:space="preserve">XBRL LongTermDebtNoncurrent
Accession 0000909832-24-000049
https://www.sec.gov/Archives/edgar/data/909832/000090983224000049/cost-20240901.htm#f-137</t>
        </r>
      </text>
    </comment>
    <comment ref="F45" authorId="0">
      <text>
        <r>
          <rPr>
            <sz val="10"/>
            <rFont val="Arial"/>
            <family val="2"/>
          </rPr>
          <t xml:space="preserve">XBRL OperatingLeaseLiabilityNoncurrent
Accession 0000909832-24-000049
https://www.sec.gov/Archives/edgar/data/909832/000090983224000049/cost-20240901.htm#f-139</t>
        </r>
      </text>
    </comment>
    <comment ref="F46" authorId="0">
      <text>
        <r>
          <rPr>
            <sz val="10"/>
            <rFont val="Arial"/>
            <family val="2"/>
          </rPr>
          <t xml:space="preserve">XBRL OtherLiabilitiesNoncurrent
Accession 0000909832-24-000049
https://www.sec.gov/Archives/edgar/data/909832/000090983224000049/cost-20240901.htm#f-141</t>
        </r>
      </text>
    </comment>
    <comment ref="F47" authorId="0">
      <text>
        <r>
          <rPr>
            <sz val="10"/>
            <rFont val="Arial"/>
            <family val="2"/>
          </rPr>
          <t xml:space="preserve">XBRL Liabilities
Accession 0000909832-24-000049
https://www.sec.gov/Archives/edgar/data/909832/000090983224000049/cost-20240901.htm#f-143</t>
        </r>
      </text>
    </comment>
    <comment ref="F48" authorId="0">
      <text>
        <r>
          <rPr>
            <sz val="10"/>
            <rFont val="Arial"/>
            <family val="2"/>
          </rPr>
          <t xml:space="preserve">XBRL StockholdersEquity
Accession 0000909832-24-000049
https://www.sec.gov/Archives/edgar/data/909832/000090983224000049/cost-20240901.htm#f-161</t>
        </r>
      </text>
    </comment>
    <comment ref="F49" authorId="0">
      <text>
        <r>
          <rPr>
            <sz val="10"/>
            <rFont val="Arial"/>
            <family val="2"/>
          </rPr>
          <t xml:space="preserve">Not presented as a separate line in 0000909832-24-000049; set to 0</t>
        </r>
      </text>
    </comment>
    <comment ref="F50" authorId="0">
      <text>
        <r>
          <rPr>
            <sz val="10"/>
            <rFont val="Arial"/>
            <family val="2"/>
          </rPr>
          <t xml:space="preserve">XBRL StockholdersEquityIncludingPortionAttributableToNoncontrollingInterest
Accession 0000909832-24-000049
https://www.sec.gov/Archives/edgar/data/909832/000090983224000049/cost-20240901.htm#f-258</t>
        </r>
      </text>
    </comment>
    <comment ref="F51" authorId="0">
      <text>
        <r>
          <rPr>
            <sz val="10"/>
            <rFont val="Arial"/>
            <family val="2"/>
          </rPr>
          <t xml:space="preserve">XBRL LiabilitiesAndStockholdersEquity
Accession 0000909832-24-000049
https://www.sec.gov/Archives/edgar/data/909832/000090983224000049/cost-20240901.htm#f-163</t>
        </r>
      </text>
    </comment>
    <comment ref="F52" authorId="0">
      <text>
        <r>
          <rPr>
            <sz val="10"/>
            <rFont val="Arial"/>
            <family val="2"/>
          </rPr>
          <t xml:space="preserve">XBRL CommonStockSharesOutstanding
Accession 0000909832-24-000049
https://www.sec.gov/Archives/edgar/data/909832/000090983224000049/cost-20240901.htm#f-179</t>
        </r>
      </text>
    </comment>
    <comment ref="F55" authorId="0">
      <text>
        <r>
          <rPr>
            <sz val="10"/>
            <rFont val="Arial"/>
            <family val="2"/>
          </rPr>
          <t xml:space="preserve">XBRL NetCashProvidedByUsedInOperatingActivities
Accession 0000909832-24-000049
https://www.sec.gov/Archives/edgar/data/909832/000090983224000049/cost-20240901.htm#f-313</t>
        </r>
      </text>
    </comment>
    <comment ref="F56" authorId="0">
      <text>
        <r>
          <rPr>
            <sz val="10"/>
            <rFont val="Arial"/>
            <family val="2"/>
          </rPr>
          <t xml:space="preserve">XBRL DepreciationDepletionAndAmortization
Accession 0000909832-24-000049
https://www.sec.gov/Archives/edgar/data/909832/000090983224000049/cost-20240901.htm#f-292</t>
        </r>
      </text>
    </comment>
    <comment ref="F57" authorId="0">
      <text>
        <r>
          <rPr>
            <sz val="10"/>
            <rFont val="Arial"/>
            <family val="2"/>
          </rPr>
          <t xml:space="preserve">XBRL ShareBasedCompensation
Accession 0000909832-24-000049
https://www.sec.gov/Archives/edgar/data/909832/000090983224000049/cost-20240901.htm#f-298</t>
        </r>
      </text>
    </comment>
    <comment ref="F58" authorId="0">
      <text>
        <r>
          <rPr>
            <sz val="10"/>
            <rFont val="Arial"/>
            <family val="2"/>
          </rPr>
          <t xml:space="preserve">XBRL IncreaseDecreaseInInventories
Accession 0000909832-24-000049
https://www.sec.gov/Archives/edgar/data/909832/000090983224000049/cost-20240901.htm#f-304</t>
        </r>
      </text>
    </comment>
    <comment ref="F59" authorId="0">
      <text>
        <r>
          <rPr>
            <sz val="10"/>
            <rFont val="Arial"/>
            <family val="2"/>
          </rPr>
          <t xml:space="preserve">XBRL IncreaseDecreaseInAccountsPayable
Accession 0000909832-24-000049
https://www.sec.gov/Archives/edgar/data/909832/000090983224000049/cost-20240901.htm#f-307</t>
        </r>
      </text>
    </comment>
    <comment ref="F60" authorId="0">
      <text>
        <r>
          <rPr>
            <sz val="10"/>
            <rFont val="Arial"/>
            <family val="2"/>
          </rPr>
          <t xml:space="preserve">XBRL IncreaseDecreaseInOtherOperatingCapitalNet
Accession 0000909832-24-000049
https://www.sec.gov/Archives/edgar/data/909832/000090983224000049/cost-20240901.htm#f-310</t>
        </r>
      </text>
    </comment>
    <comment ref="F61" authorId="0">
      <text>
        <r>
          <rPr>
            <sz val="10"/>
            <rFont val="Arial"/>
            <family val="2"/>
          </rPr>
          <t xml:space="preserve">XBRL PaymentsToAcquirePropertyPlantAndEquipment
Accession 0000909832-24-000049
https://www.sec.gov/Archives/edgar/data/909832/000090983224000049/cost-20240901.htm#f-322</t>
        </r>
      </text>
    </comment>
    <comment ref="F62" authorId="0">
      <text>
        <r>
          <rPr>
            <sz val="10"/>
            <rFont val="Arial"/>
            <family val="2"/>
          </rPr>
          <t xml:space="preserve">XBRL NetCashProvidedByUsedInInvestingActivities
Accession 0000909832-24-000049
https://www.sec.gov/Archives/edgar/data/909832/000090983224000049/cost-20240901.htm#f-328</t>
        </r>
      </text>
    </comment>
    <comment ref="F63" authorId="0">
      <text>
        <r>
          <rPr>
            <sz val="10"/>
            <rFont val="Arial"/>
            <family val="2"/>
          </rPr>
          <t xml:space="preserve">XBRL PaymentsOfDividendsCommonStock
Accession 0000909832-24-000049
https://www.sec.gov/Archives/edgar/data/909832/000090983224000049/cost-20240901.htm#f-349</t>
        </r>
      </text>
    </comment>
    <comment ref="F64" authorId="0">
      <text>
        <r>
          <rPr>
            <sz val="10"/>
            <rFont val="Arial"/>
            <family val="2"/>
          </rPr>
          <t xml:space="preserve">XBRL PaymentsForRepurchaseOfCommonStock
Accession 0000909832-24-000049
https://www.sec.gov/Archives/edgar/data/909832/000090983224000049/cost-20240901.htm#f-346</t>
        </r>
      </text>
    </comment>
    <comment ref="F65" authorId="0">
      <text>
        <r>
          <rPr>
            <sz val="10"/>
            <rFont val="Arial"/>
            <family val="2"/>
          </rPr>
          <t xml:space="preserve">XBRL ProceedsFromIssuanceOfLongTermDebt
Accession 0000909832-24-000049
https://www.sec.gov/Archives/edgar/data/909832/000090983224000049/cost-20240901.htm#f-340</t>
        </r>
      </text>
    </comment>
    <comment ref="F66" authorId="0">
      <text>
        <r>
          <rPr>
            <sz val="10"/>
            <rFont val="Arial"/>
            <family val="2"/>
          </rPr>
          <t xml:space="preserve">XBRL RepaymentsOfLongTermDebt
Accession 0000909832-24-000049
https://www.sec.gov/Archives/edgar/data/909832/000090983224000049/cost-20240901.htm#f-337</t>
        </r>
      </text>
    </comment>
    <comment ref="F67" authorId="0">
      <text>
        <r>
          <rPr>
            <sz val="10"/>
            <rFont val="Arial"/>
            <family val="2"/>
          </rPr>
          <t xml:space="preserve">XBRL NetCashProvidedByUsedInFinancingActivities
Accession 0000909832-24-000049
https://www.sec.gov/Archives/edgar/data/909832/000090983224000049/cost-20240901.htm#f-361</t>
        </r>
      </text>
    </comment>
    <comment ref="F68" authorId="0">
      <text>
        <r>
          <rPr>
            <sz val="10"/>
            <rFont val="Arial"/>
            <family val="2"/>
          </rPr>
          <t xml:space="preserve">XBRL EffectOfExchangeRateOnCashCashEquivalentsRestrictedCashAndRestrictedCashEquivalents
Accession 0000909832-24-000049
https://www.sec.gov/Archives/edgar/data/909832/000090983224000049/cost-20240901.htm#f-364</t>
        </r>
      </text>
    </comment>
    <comment ref="F69" authorId="0">
      <text>
        <r>
          <rPr>
            <sz val="10"/>
            <rFont val="Arial"/>
            <family val="2"/>
          </rPr>
          <t xml:space="preserve">XBRL CashCashEquivalentsRestrictedCashAndRestrictedCashEquivalentsPeriodIncreaseDecreaseIncludingExchangeRateEffect
Accession 0000909832-24-000049
https://www.sec.gov/Archives/edgar/data/909832/000090983224000049/cost-20240901.htm#f-367</t>
        </r>
      </text>
    </comment>
    <comment ref="F70" authorId="0">
      <text>
        <r>
          <rPr>
            <sz val="10"/>
            <rFont val="Arial"/>
            <family val="2"/>
          </rPr>
          <t xml:space="preserve">XBRL IncomeTaxesPaid
Accession 0000909832-24-000049
https://www.sec.gov/Archives/edgar/data/909832/000090983224000049/cost-20240901.htm#f-379</t>
        </r>
      </text>
    </comment>
    <comment ref="F71" authorId="0">
      <text>
        <r>
          <rPr>
            <sz val="10"/>
            <rFont val="Arial"/>
            <family val="2"/>
          </rPr>
          <t xml:space="preserve">XBRL InterestPaidNet
Accession 0000909832-24-000049
https://www.sec.gov/Archives/edgar/data/909832/000090983224000049/cost-20240901.htm#f-376</t>
        </r>
      </text>
    </comment>
    <comment ref="F74" authorId="0">
      <text>
        <r>
          <rPr>
            <sz val="10"/>
            <rFont val="Arial"/>
            <family val="2"/>
          </rPr>
          <t xml:space="preserve">XBRL OperatingLeaseLiability
Accession 0000909832-23-000042
https://www.sec.gov/Archives/edgar/data/909832/000090983223000042/cost-20230903.htm#f-669</t>
        </r>
      </text>
    </comment>
    <comment ref="F75" authorId="0">
      <text>
        <r>
          <rPr>
            <sz val="10"/>
            <rFont val="Arial"/>
            <family val="2"/>
          </rPr>
          <t xml:space="preserve">XBRL OperatingLeaseandFinanceLeaseLiabilities
Accession 0000909832-24-000049
https://www.sec.gov/Archives/edgar/data/909832/000090983224000049/cost-20240901.htm#f-608</t>
        </r>
      </text>
    </comment>
    <comment ref="F76" authorId="0">
      <text>
        <r>
          <rPr>
            <sz val="10"/>
            <rFont val="Arial"/>
            <family val="2"/>
          </rPr>
          <t xml:space="preserve">Derived: total lease liabilities - operating lease liabilities (both tagged in the lease note)</t>
        </r>
      </text>
    </comment>
    <comment ref="F79" authorId="0">
      <text>
        <r>
          <rPr>
            <sz val="10"/>
            <rFont val="Arial"/>
            <family val="2"/>
          </rPr>
          <t xml:space="preserve">XBRL us-gaap:NumberOfStores
Accession 0000909832-23-000042
https://www.sec.gov/Archives/edgar/data/909832/000090983223000042/cost-20230903.htm#f-396</t>
        </r>
      </text>
    </comment>
    <comment ref="F80" authorId="0">
      <text>
        <r>
          <rPr>
            <sz val="10"/>
            <rFont val="Arial"/>
            <family val="2"/>
          </rPr>
          <t xml:space="preserve">Item 1 - Membership
Accession 0000909832-23-000042
Quote: "Total paid members 71,000"</t>
        </r>
      </text>
    </comment>
    <comment ref="F81" authorId="0">
      <text>
        <r>
          <rPr>
            <sz val="10"/>
            <rFont val="Arial"/>
            <family val="2"/>
          </rPr>
          <t xml:space="preserve">Item 1 - Membership
Accession 0000909832-23-000042
Quote: "Executive members totaled 32.3 million and represented 45.4% of paid members"</t>
        </r>
      </text>
    </comment>
    <comment ref="F82" authorId="0">
      <text>
        <r>
          <rPr>
            <sz val="10"/>
            <rFont val="Arial"/>
            <family val="2"/>
          </rPr>
          <t xml:space="preserve">Item 7 MD&amp;A - Highlights table
Accession 0000909832-23-000042
Quote: "Changes in comparable sales: U.S. 3 % 16 % 15 % Canada 2 % 15 % 20 % Other International 3 % 7 % 19 % Total Company 3 %"</t>
        </r>
      </text>
    </comment>
    <comment ref="F83" authorId="0">
      <text>
        <r>
          <rPr>
            <sz val="10"/>
            <rFont val="Arial"/>
            <family val="2"/>
          </rPr>
          <t xml:space="preserve">Item 1 - Membership
Accession 0000909832-23-000042
Quote: "Our member renewal rate was 92.7% in the U.S. and Canada and 90.4% worldwide at the end of 2023"</t>
        </r>
      </text>
    </comment>
    <comment ref="G7" authorId="0">
      <text>
        <r>
          <rPr>
            <sz val="10"/>
            <rFont val="Arial"/>
            <family val="2"/>
          </rPr>
          <t xml:space="preserve">XBRL RevenueFromContractWithCustomerExcludingAssessedTax [srt:ProductOrServiceAxis=us-gaap:ProductMember]
Accession 0000909832-24-000049
https://www.sec.gov/Archives/edgar/data/909832/000090983224000049/cost-20240901.htm#f-36</t>
        </r>
      </text>
    </comment>
    <comment ref="G8" authorId="0">
      <text>
        <r>
          <rPr>
            <sz val="10"/>
            <rFont val="Arial"/>
            <family val="2"/>
          </rPr>
          <t xml:space="preserve">XBRL RevenueFromContractWithCustomerExcludingAssessedTax [srt:ProductOrServiceAxis=us-gaap:MembershipMember]
Accession 0000909832-24-000049
https://www.sec.gov/Archives/edgar/data/909832/000090983224000049/cost-20240901.htm#f-39</t>
        </r>
      </text>
    </comment>
    <comment ref="G9" authorId="0">
      <text>
        <r>
          <rPr>
            <sz val="10"/>
            <rFont val="Arial"/>
            <family val="2"/>
          </rPr>
          <t xml:space="preserve">XBRL Revenues
Accession 0000909832-24-000049
https://www.sec.gov/Archives/edgar/data/909832/000090983224000049/cost-20240901.htm#f-891</t>
        </r>
      </text>
    </comment>
    <comment ref="G10" authorId="0">
      <text>
        <r>
          <rPr>
            <sz val="10"/>
            <rFont val="Arial"/>
            <family val="2"/>
          </rPr>
          <t xml:space="preserve">XBRL CostOfGoodsAndServicesSold
Accession 0000909832-24-000049
https://www.sec.gov/Archives/edgar/data/909832/000090983224000049/cost-20240901.htm#f-45</t>
        </r>
      </text>
    </comment>
    <comment ref="G11" authorId="0">
      <text>
        <r>
          <rPr>
            <sz val="10"/>
            <rFont val="Arial"/>
            <family val="2"/>
          </rPr>
          <t xml:space="preserve">XBRL SellingGeneralAndAdministrativeExpense
Accession 0000909832-24-000049
https://www.sec.gov/Archives/edgar/data/909832/000090983224000049/cost-20240901.htm#f-48</t>
        </r>
      </text>
    </comment>
    <comment ref="G12" authorId="0">
      <text>
        <r>
          <rPr>
            <sz val="10"/>
            <rFont val="Arial"/>
            <family val="2"/>
          </rPr>
          <t xml:space="preserve">Not presented as a separate line in 0000909832-24-000049; set to 0</t>
        </r>
      </text>
    </comment>
    <comment ref="G13" authorId="0">
      <text>
        <r>
          <rPr>
            <sz val="10"/>
            <rFont val="Arial"/>
            <family val="2"/>
          </rPr>
          <t xml:space="preserve">XBRL OperatingIncomeLoss
Accession 0000909832-24-000049
https://www.sec.gov/Archives/edgar/data/909832/000090983224000049/cost-20240901.htm#f-51</t>
        </r>
      </text>
    </comment>
    <comment ref="G14" authorId="0">
      <text>
        <r>
          <rPr>
            <sz val="10"/>
            <rFont val="Arial"/>
            <family val="2"/>
          </rPr>
          <t xml:space="preserve">XBRL InterestExpense
Accession 0000909832-24-000049
https://www.sec.gov/Archives/edgar/data/909832/000090983224000049/cost-20240901.htm#f-54</t>
        </r>
      </text>
    </comment>
    <comment ref="G15" authorId="0">
      <text>
        <r>
          <rPr>
            <sz val="10"/>
            <rFont val="Arial"/>
            <family val="2"/>
          </rPr>
          <t xml:space="preserve">XBRL InterestAndOtherIncome
Accession 0000909832-24-000049
https://www.sec.gov/Archives/edgar/data/909832/000090983224000049/cost-20240901.htm#f-57</t>
        </r>
      </text>
    </comment>
    <comment ref="G16" authorId="0">
      <text>
        <r>
          <rPr>
            <sz val="10"/>
            <rFont val="Arial"/>
            <family val="2"/>
          </rPr>
          <t xml:space="preserve">XBRL IncomeLossFromContinuingOperationsBeforeIncomeTaxesExtraordinaryItemsNoncontrollingInterest
Accession 0000909832-24-000049
https://www.sec.gov/Archives/edgar/data/909832/000090983224000049/cost-20240901.htm#f-60</t>
        </r>
      </text>
    </comment>
    <comment ref="G17" authorId="0">
      <text>
        <r>
          <rPr>
            <sz val="10"/>
            <rFont val="Arial"/>
            <family val="2"/>
          </rPr>
          <t xml:space="preserve">XBRL IncomeTaxExpenseBenefit
Accession 0000909832-24-000049
https://www.sec.gov/Archives/edgar/data/909832/000090983224000049/cost-20240901.htm#f-63</t>
        </r>
      </text>
    </comment>
    <comment ref="G18" authorId="0">
      <text>
        <r>
          <rPr>
            <sz val="10"/>
            <rFont val="Arial"/>
            <family val="2"/>
          </rPr>
          <t xml:space="preserve">XBRL ProfitLoss
Accession 0000909832-24-000049
https://www.sec.gov/Archives/edgar/data/909832/000090983224000049/cost-20240901.htm#f-66</t>
        </r>
      </text>
    </comment>
    <comment ref="G19" authorId="0">
      <text>
        <r>
          <rPr>
            <sz val="10"/>
            <rFont val="Arial"/>
            <family val="2"/>
          </rPr>
          <t xml:space="preserve">XBRL NetIncomeLossAttributableToNoncontrollingInterest
Accession 0000909832-24-000049
https://www.sec.gov/Archives/edgar/data/909832/000090983224000049/cost-20240901.htm#f-69</t>
        </r>
      </text>
    </comment>
    <comment ref="G20" authorId="0">
      <text>
        <r>
          <rPr>
            <sz val="10"/>
            <rFont val="Arial"/>
            <family val="2"/>
          </rPr>
          <t xml:space="preserve">XBRL NetIncomeLoss
Accession 0000909832-24-000049
https://www.sec.gov/Archives/edgar/data/909832/000090983224000049/cost-20240901.htm#f-72</t>
        </r>
      </text>
    </comment>
    <comment ref="G21" authorId="0">
      <text>
        <r>
          <rPr>
            <sz val="10"/>
            <rFont val="Arial"/>
            <family val="2"/>
          </rPr>
          <t xml:space="preserve">XBRL EarningsPerShareBasic
Accession 0000909832-24-000049
https://www.sec.gov/Archives/edgar/data/909832/000090983224000049/cost-20240901.htm#f-75</t>
        </r>
      </text>
    </comment>
    <comment ref="G22" authorId="0">
      <text>
        <r>
          <rPr>
            <sz val="10"/>
            <rFont val="Arial"/>
            <family val="2"/>
          </rPr>
          <t xml:space="preserve">XBRL EarningsPerShareDiluted
Accession 0000909832-24-000049
https://www.sec.gov/Archives/edgar/data/909832/000090983224000049/cost-20240901.htm#f-78</t>
        </r>
      </text>
    </comment>
    <comment ref="G23" authorId="0">
      <text>
        <r>
          <rPr>
            <sz val="10"/>
            <rFont val="Arial"/>
            <family val="2"/>
          </rPr>
          <t xml:space="preserve">XBRL WeightedAverageNumberOfSharesOutstandingBasic
Accession 0000909832-24-000049
https://www.sec.gov/Archives/edgar/data/909832/000090983224000049/cost-20240901.htm#f-81</t>
        </r>
      </text>
    </comment>
    <comment ref="G24" authorId="0">
      <text>
        <r>
          <rPr>
            <sz val="10"/>
            <rFont val="Arial"/>
            <family val="2"/>
          </rPr>
          <t xml:space="preserve">XBRL WeightedAverageNumberOfDilutedSharesOutstanding
Accession 0000909832-24-000049
https://www.sec.gov/Archives/edgar/data/909832/000090983224000049/cost-20240901.htm#f-84</t>
        </r>
      </text>
    </comment>
    <comment ref="G27" authorId="0">
      <text>
        <r>
          <rPr>
            <sz val="10"/>
            <rFont val="Arial"/>
            <family val="2"/>
          </rPr>
          <t xml:space="preserve">XBRL CashAndCashEquivalentsAtCarryingValue
Accession 0000909832-24-000049
https://www.sec.gov/Archives/edgar/data/909832/000090983224000049/cost-20240901.htm#f-102</t>
        </r>
      </text>
    </comment>
    <comment ref="G28" authorId="0">
      <text>
        <r>
          <rPr>
            <sz val="10"/>
            <rFont val="Arial"/>
            <family val="2"/>
          </rPr>
          <t xml:space="preserve">XBRL ShortTermInvestments
Accession 0000909832-24-000049
https://www.sec.gov/Archives/edgar/data/909832/000090983224000049/cost-20240901.htm#f-104</t>
        </r>
      </text>
    </comment>
    <comment ref="G29" authorId="0">
      <text>
        <r>
          <rPr>
            <sz val="10"/>
            <rFont val="Arial"/>
            <family val="2"/>
          </rPr>
          <t xml:space="preserve">XBRL ReceivablesNetCurrent
Accession 0000909832-24-000049
https://www.sec.gov/Archives/edgar/data/909832/000090983224000049/cost-20240901.htm#f-106</t>
        </r>
      </text>
    </comment>
    <comment ref="G30" authorId="0">
      <text>
        <r>
          <rPr>
            <sz val="10"/>
            <rFont val="Arial"/>
            <family val="2"/>
          </rPr>
          <t xml:space="preserve">XBRL InventoryNet
Accession 0000909832-24-000049
https://www.sec.gov/Archives/edgar/data/909832/000090983224000049/cost-20240901.htm#f-108</t>
        </r>
      </text>
    </comment>
    <comment ref="G31" authorId="0">
      <text>
        <r>
          <rPr>
            <sz val="10"/>
            <rFont val="Arial"/>
            <family val="2"/>
          </rPr>
          <t xml:space="preserve">XBRL OtherAssetsCurrent
Accession 0000909832-24-000049
https://www.sec.gov/Archives/edgar/data/909832/000090983224000049/cost-20240901.htm#f-110</t>
        </r>
      </text>
    </comment>
    <comment ref="G32" authorId="0">
      <text>
        <r>
          <rPr>
            <sz val="10"/>
            <rFont val="Arial"/>
            <family val="2"/>
          </rPr>
          <t xml:space="preserve">XBRL AssetsCurrent
Accession 0000909832-24-000049
https://www.sec.gov/Archives/edgar/data/909832/000090983224000049/cost-20240901.htm#f-112</t>
        </r>
      </text>
    </comment>
    <comment ref="G33" authorId="0">
      <text>
        <r>
          <rPr>
            <sz val="10"/>
            <rFont val="Arial"/>
            <family val="2"/>
          </rPr>
          <t xml:space="preserve">XBRL PropertyPlantAndEquipmentNet
Accession 0000909832-24-000049
https://www.sec.gov/Archives/edgar/data/909832/000090983224000049/cost-20240901.htm#f-114</t>
        </r>
      </text>
    </comment>
    <comment ref="G34" authorId="0">
      <text>
        <r>
          <rPr>
            <sz val="10"/>
            <rFont val="Arial"/>
            <family val="2"/>
          </rPr>
          <t xml:space="preserve">XBRL OperatingLeaseRightOfUseAsset
Accession 0000909832-24-000049
https://www.sec.gov/Archives/edgar/data/909832/000090983224000049/cost-20240901.htm#f-116</t>
        </r>
      </text>
    </comment>
    <comment ref="G35" authorId="0">
      <text>
        <r>
          <rPr>
            <sz val="10"/>
            <rFont val="Arial"/>
            <family val="2"/>
          </rPr>
          <t xml:space="preserve">XBRL OtherAssetsNoncurrent
Accession 0000909832-24-000049
https://www.sec.gov/Archives/edgar/data/909832/000090983224000049/cost-20240901.htm#f-118</t>
        </r>
      </text>
    </comment>
    <comment ref="G36" authorId="0">
      <text>
        <r>
          <rPr>
            <sz val="10"/>
            <rFont val="Arial"/>
            <family val="2"/>
          </rPr>
          <t xml:space="preserve">XBRL Assets
Accession 0000909832-24-000049
https://www.sec.gov/Archives/edgar/data/909832/000090983224000049/cost-20240901.htm#f-120</t>
        </r>
      </text>
    </comment>
    <comment ref="G37" authorId="0">
      <text>
        <r>
          <rPr>
            <sz val="10"/>
            <rFont val="Arial"/>
            <family val="2"/>
          </rPr>
          <t xml:space="preserve">XBRL AccountsPayableCurrent
Accession 0000909832-24-000049
https://www.sec.gov/Archives/edgar/data/909832/000090983224000049/cost-20240901.htm#f-122</t>
        </r>
      </text>
    </comment>
    <comment ref="G38" authorId="0">
      <text>
        <r>
          <rPr>
            <sz val="10"/>
            <rFont val="Arial"/>
            <family val="2"/>
          </rPr>
          <t xml:space="preserve">XBRL EmployeeRelatedLiabilitiesCurrent
Accession 0000909832-24-000049
https://www.sec.gov/Archives/edgar/data/909832/000090983224000049/cost-20240901.htm#f-124</t>
        </r>
      </text>
    </comment>
    <comment ref="G39" authorId="0">
      <text>
        <r>
          <rPr>
            <sz val="10"/>
            <rFont val="Arial"/>
            <family val="2"/>
          </rPr>
          <t xml:space="preserve">XBRL AccruedLiabilitiesCurrent
Accession 0000909832-24-000049
https://www.sec.gov/Archives/edgar/data/909832/000090983224000049/cost-20240901.htm#f-126</t>
        </r>
      </text>
    </comment>
    <comment ref="G40" authorId="0">
      <text>
        <r>
          <rPr>
            <sz val="10"/>
            <rFont val="Arial"/>
            <family val="2"/>
          </rPr>
          <t xml:space="preserve">XBRL DeferredRevenueCurrent
Accession 0000909832-24-000049
https://www.sec.gov/Archives/edgar/data/909832/000090983224000049/cost-20240901.htm#f-128</t>
        </r>
      </text>
    </comment>
    <comment ref="G41" authorId="0">
      <text>
        <r>
          <rPr>
            <sz val="10"/>
            <rFont val="Arial"/>
            <family val="2"/>
          </rPr>
          <t xml:space="preserve">XBRL LongTermDebtCurrent
Accession 0000909832-24-000049
https://www.sec.gov/Archives/edgar/data/909832/000090983224000049/cost-20240901.htm#f-130</t>
        </r>
      </text>
    </comment>
    <comment ref="G42" authorId="0">
      <text>
        <r>
          <rPr>
            <sz val="10"/>
            <rFont val="Arial"/>
            <family val="2"/>
          </rPr>
          <t xml:space="preserve">XBRL OtherLiabilitiesCurrent
Accession 0000909832-24-000049
https://www.sec.gov/Archives/edgar/data/909832/000090983224000049/cost-20240901.htm#f-132</t>
        </r>
      </text>
    </comment>
    <comment ref="G43" authorId="0">
      <text>
        <r>
          <rPr>
            <sz val="10"/>
            <rFont val="Arial"/>
            <family val="2"/>
          </rPr>
          <t xml:space="preserve">XBRL LiabilitiesCurrent
Accession 0000909832-24-000049
https://www.sec.gov/Archives/edgar/data/909832/000090983224000049/cost-20240901.htm#f-134</t>
        </r>
      </text>
    </comment>
    <comment ref="G44" authorId="0">
      <text>
        <r>
          <rPr>
            <sz val="10"/>
            <rFont val="Arial"/>
            <family val="2"/>
          </rPr>
          <t xml:space="preserve">XBRL LongTermDebtNoncurrent
Accession 0000909832-24-000049
https://www.sec.gov/Archives/edgar/data/909832/000090983224000049/cost-20240901.htm#f-136</t>
        </r>
      </text>
    </comment>
    <comment ref="G45" authorId="0">
      <text>
        <r>
          <rPr>
            <sz val="10"/>
            <rFont val="Arial"/>
            <family val="2"/>
          </rPr>
          <t xml:space="preserve">XBRL OperatingLeaseLiabilityNoncurrent
Accession 0000909832-24-000049
https://www.sec.gov/Archives/edgar/data/909832/000090983224000049/cost-20240901.htm#f-138</t>
        </r>
      </text>
    </comment>
    <comment ref="G46" authorId="0">
      <text>
        <r>
          <rPr>
            <sz val="10"/>
            <rFont val="Arial"/>
            <family val="2"/>
          </rPr>
          <t xml:space="preserve">XBRL OtherLiabilitiesNoncurrent
Accession 0000909832-24-000049
https://www.sec.gov/Archives/edgar/data/909832/000090983224000049/cost-20240901.htm#f-140</t>
        </r>
      </text>
    </comment>
    <comment ref="G47" authorId="0">
      <text>
        <r>
          <rPr>
            <sz val="10"/>
            <rFont val="Arial"/>
            <family val="2"/>
          </rPr>
          <t xml:space="preserve">XBRL Liabilities
Accession 0000909832-24-000049
https://www.sec.gov/Archives/edgar/data/909832/000090983224000049/cost-20240901.htm#f-142</t>
        </r>
      </text>
    </comment>
    <comment ref="G48" authorId="0">
      <text>
        <r>
          <rPr>
            <sz val="10"/>
            <rFont val="Arial"/>
            <family val="2"/>
          </rPr>
          <t xml:space="preserve">XBRL StockholdersEquity
Accession 0000909832-24-000049
https://www.sec.gov/Archives/edgar/data/909832/000090983224000049/cost-20240901.htm#f-160</t>
        </r>
      </text>
    </comment>
    <comment ref="G49" authorId="0">
      <text>
        <r>
          <rPr>
            <sz val="10"/>
            <rFont val="Arial"/>
            <family val="2"/>
          </rPr>
          <t xml:space="preserve">Not presented as a separate line in 0000909832-24-000049; set to 0</t>
        </r>
      </text>
    </comment>
    <comment ref="G50" authorId="0">
      <text>
        <r>
          <rPr>
            <sz val="10"/>
            <rFont val="Arial"/>
            <family val="2"/>
          </rPr>
          <t xml:space="preserve">XBRL StockholdersEquityIncludingPortionAttributableToNoncontrollingInterest
Accession 0000909832-24-000049
https://www.sec.gov/Archives/edgar/data/909832/000090983224000049/cost-20240901.htm#f-287</t>
        </r>
      </text>
    </comment>
    <comment ref="G51" authorId="0">
      <text>
        <r>
          <rPr>
            <sz val="10"/>
            <rFont val="Arial"/>
            <family val="2"/>
          </rPr>
          <t xml:space="preserve">XBRL LiabilitiesAndStockholdersEquity
Accession 0000909832-24-000049
https://www.sec.gov/Archives/edgar/data/909832/000090983224000049/cost-20240901.htm#f-162</t>
        </r>
      </text>
    </comment>
    <comment ref="G52" authorId="0">
      <text>
        <r>
          <rPr>
            <sz val="10"/>
            <rFont val="Arial"/>
            <family val="2"/>
          </rPr>
          <t xml:space="preserve">XBRL CommonStockSharesOutstanding
Accession 0000909832-24-000049
https://www.sec.gov/Archives/edgar/data/909832/000090983224000049/cost-20240901.htm#f-178</t>
        </r>
      </text>
    </comment>
    <comment ref="G55" authorId="0">
      <text>
        <r>
          <rPr>
            <sz val="10"/>
            <rFont val="Arial"/>
            <family val="2"/>
          </rPr>
          <t xml:space="preserve">XBRL NetCashProvidedByUsedInOperatingActivities
Accession 0000909832-24-000049
https://www.sec.gov/Archives/edgar/data/909832/000090983224000049/cost-20240901.htm#f-312</t>
        </r>
      </text>
    </comment>
    <comment ref="G56" authorId="0">
      <text>
        <r>
          <rPr>
            <sz val="10"/>
            <rFont val="Arial"/>
            <family val="2"/>
          </rPr>
          <t xml:space="preserve">XBRL DepreciationDepletionAndAmortization
Accession 0000909832-24-000049
https://www.sec.gov/Archives/edgar/data/909832/000090983224000049/cost-20240901.htm#f-291</t>
        </r>
      </text>
    </comment>
    <comment ref="G57" authorId="0">
      <text>
        <r>
          <rPr>
            <sz val="10"/>
            <rFont val="Arial"/>
            <family val="2"/>
          </rPr>
          <t xml:space="preserve">XBRL ShareBasedCompensation
Accession 0000909832-24-000049
https://www.sec.gov/Archives/edgar/data/909832/000090983224000049/cost-20240901.htm#f-297</t>
        </r>
      </text>
    </comment>
    <comment ref="G58" authorId="0">
      <text>
        <r>
          <rPr>
            <sz val="10"/>
            <rFont val="Arial"/>
            <family val="2"/>
          </rPr>
          <t xml:space="preserve">XBRL IncreaseDecreaseInInventories
Accession 0000909832-24-000049
https://www.sec.gov/Archives/edgar/data/909832/000090983224000049/cost-20240901.htm#f-303</t>
        </r>
      </text>
    </comment>
    <comment ref="G59" authorId="0">
      <text>
        <r>
          <rPr>
            <sz val="10"/>
            <rFont val="Arial"/>
            <family val="2"/>
          </rPr>
          <t xml:space="preserve">XBRL IncreaseDecreaseInAccountsPayable
Accession 0000909832-24-000049
https://www.sec.gov/Archives/edgar/data/909832/000090983224000049/cost-20240901.htm#f-306</t>
        </r>
      </text>
    </comment>
    <comment ref="G60" authorId="0">
      <text>
        <r>
          <rPr>
            <sz val="10"/>
            <rFont val="Arial"/>
            <family val="2"/>
          </rPr>
          <t xml:space="preserve">XBRL IncreaseDecreaseInOtherOperatingCapitalNet
Accession 0000909832-24-000049
https://www.sec.gov/Archives/edgar/data/909832/000090983224000049/cost-20240901.htm#f-309</t>
        </r>
      </text>
    </comment>
    <comment ref="G61" authorId="0">
      <text>
        <r>
          <rPr>
            <sz val="10"/>
            <rFont val="Arial"/>
            <family val="2"/>
          </rPr>
          <t xml:space="preserve">XBRL PaymentsToAcquirePropertyPlantAndEquipment
Accession 0000909832-24-000049
https://www.sec.gov/Archives/edgar/data/909832/000090983224000049/cost-20240901.htm#f-321</t>
        </r>
      </text>
    </comment>
    <comment ref="G62" authorId="0">
      <text>
        <r>
          <rPr>
            <sz val="10"/>
            <rFont val="Arial"/>
            <family val="2"/>
          </rPr>
          <t xml:space="preserve">XBRL NetCashProvidedByUsedInInvestingActivities
Accession 0000909832-24-000049
https://www.sec.gov/Archives/edgar/data/909832/000090983224000049/cost-20240901.htm#f-327</t>
        </r>
      </text>
    </comment>
    <comment ref="G63" authorId="0">
      <text>
        <r>
          <rPr>
            <sz val="10"/>
            <rFont val="Arial"/>
            <family val="2"/>
          </rPr>
          <t xml:space="preserve">XBRL PaymentsOfDividendsCommonStock
Accession 0000909832-24-000049
https://www.sec.gov/Archives/edgar/data/909832/000090983224000049/cost-20240901.htm#f-348</t>
        </r>
      </text>
    </comment>
    <comment ref="G64" authorId="0">
      <text>
        <r>
          <rPr>
            <sz val="10"/>
            <rFont val="Arial"/>
            <family val="2"/>
          </rPr>
          <t xml:space="preserve">XBRL PaymentsForRepurchaseOfCommonStock
Accession 0000909832-24-000049
https://www.sec.gov/Archives/edgar/data/909832/000090983224000049/cost-20240901.htm#f-345</t>
        </r>
      </text>
    </comment>
    <comment ref="G65" authorId="0">
      <text>
        <r>
          <rPr>
            <sz val="10"/>
            <rFont val="Arial"/>
            <family val="2"/>
          </rPr>
          <t xml:space="preserve">XBRL ProceedsFromIssuanceOfLongTermDebt
Accession 0000909832-24-000049
https://www.sec.gov/Archives/edgar/data/909832/000090983224000049/cost-20240901.htm#f-339</t>
        </r>
      </text>
    </comment>
    <comment ref="G66" authorId="0">
      <text>
        <r>
          <rPr>
            <sz val="10"/>
            <rFont val="Arial"/>
            <family val="2"/>
          </rPr>
          <t xml:space="preserve">XBRL RepaymentsOfLongTermDebt
Accession 0000909832-24-000049
https://www.sec.gov/Archives/edgar/data/909832/000090983224000049/cost-20240901.htm#f-336</t>
        </r>
      </text>
    </comment>
    <comment ref="G67" authorId="0">
      <text>
        <r>
          <rPr>
            <sz val="10"/>
            <rFont val="Arial"/>
            <family val="2"/>
          </rPr>
          <t xml:space="preserve">XBRL NetCashProvidedByUsedInFinancingActivities
Accession 0000909832-24-000049
https://www.sec.gov/Archives/edgar/data/909832/000090983224000049/cost-20240901.htm#f-360</t>
        </r>
      </text>
    </comment>
    <comment ref="G68" authorId="0">
      <text>
        <r>
          <rPr>
            <sz val="10"/>
            <rFont val="Arial"/>
            <family val="2"/>
          </rPr>
          <t xml:space="preserve">XBRL EffectOfExchangeRateOnCashCashEquivalentsRestrictedCashAndRestrictedCashEquivalents
Accession 0000909832-24-000049
https://www.sec.gov/Archives/edgar/data/909832/000090983224000049/cost-20240901.htm#f-363</t>
        </r>
      </text>
    </comment>
    <comment ref="G69" authorId="0">
      <text>
        <r>
          <rPr>
            <sz val="10"/>
            <rFont val="Arial"/>
            <family val="2"/>
          </rPr>
          <t xml:space="preserve">XBRL CashCashEquivalentsRestrictedCashAndRestrictedCashEquivalentsPeriodIncreaseDecreaseIncludingExchangeRateEffect
Accession 0000909832-24-000049
https://www.sec.gov/Archives/edgar/data/909832/000090983224000049/cost-20240901.htm#f-366</t>
        </r>
      </text>
    </comment>
    <comment ref="G70" authorId="0">
      <text>
        <r>
          <rPr>
            <sz val="10"/>
            <rFont val="Arial"/>
            <family val="2"/>
          </rPr>
          <t xml:space="preserve">XBRL IncomeTaxesPaid
Accession 0000909832-24-000049
https://www.sec.gov/Archives/edgar/data/909832/000090983224000049/cost-20240901.htm#f-378</t>
        </r>
      </text>
    </comment>
    <comment ref="G71" authorId="0">
      <text>
        <r>
          <rPr>
            <sz val="10"/>
            <rFont val="Arial"/>
            <family val="2"/>
          </rPr>
          <t xml:space="preserve">XBRL InterestPaidNet
Accession 0000909832-24-000049
https://www.sec.gov/Archives/edgar/data/909832/000090983224000049/cost-20240901.htm#f-375</t>
        </r>
      </text>
    </comment>
    <comment ref="G74" authorId="0">
      <text>
        <r>
          <rPr>
            <sz val="10"/>
            <rFont val="Arial"/>
            <family val="2"/>
          </rPr>
          <t xml:space="preserve">XBRL OperatingLeaseLiability
Accession 0000909832-24-000049
https://www.sec.gov/Archives/edgar/data/909832/000090983224000049/cost-20240901.htm#f-666</t>
        </r>
      </text>
    </comment>
    <comment ref="G75" authorId="0">
      <text>
        <r>
          <rPr>
            <sz val="10"/>
            <rFont val="Arial"/>
            <family val="2"/>
          </rPr>
          <t xml:space="preserve">XBRL OperatingLeaseandFinanceLeaseLiabilities
Accession 0000909832-24-000049
https://www.sec.gov/Archives/edgar/data/909832/000090983224000049/cost-20240901.htm#f-607</t>
        </r>
      </text>
    </comment>
    <comment ref="G76" authorId="0">
      <text>
        <r>
          <rPr>
            <sz val="10"/>
            <rFont val="Arial"/>
            <family val="2"/>
          </rPr>
          <t xml:space="preserve">Derived: total lease liabilities - operating lease liabilities (both tagged in the lease note)</t>
        </r>
      </text>
    </comment>
    <comment ref="G79" authorId="0">
      <text>
        <r>
          <rPr>
            <sz val="10"/>
            <rFont val="Arial"/>
            <family val="2"/>
          </rPr>
          <t xml:space="preserve">XBRL us-gaap:NumberOfStores
Accession 0000909832-24-000049
https://www.sec.gov/Archives/edgar/data/909832/000090983224000049/cost-20240901.htm#f-388</t>
        </r>
      </text>
    </comment>
    <comment ref="G80" authorId="0">
      <text>
        <r>
          <rPr>
            <sz val="10"/>
            <rFont val="Arial"/>
            <family val="2"/>
          </rPr>
          <t xml:space="preserve">Item 1 - Membership
Accession 0000909832-24-000049
Quote: "Total paid members 1 76,200"</t>
        </r>
      </text>
    </comment>
    <comment ref="G81" authorId="0">
      <text>
        <r>
          <rPr>
            <sz val="10"/>
            <rFont val="Arial"/>
            <family val="2"/>
          </rPr>
          <t xml:space="preserve">Item 1 - Membership (footnote, thousands)
Accession 0000909832-24-000049
Quote: "Executive members represented 35,400, 32,300, and 29,100 of total paid members in 2024, 2023, and 2022"</t>
        </r>
      </text>
    </comment>
    <comment ref="G82" authorId="0">
      <text>
        <r>
          <rPr>
            <sz val="10"/>
            <rFont val="Arial"/>
            <family val="2"/>
          </rPr>
          <t xml:space="preserve">Item 7 MD&amp;A - Highlights table
Accession 0000909832-24-000049
Quote: "Changes in comparable sales (1) : U.S. 4 % 3 % 16 % Canada 7 % 2 % 15 % Other International 8 % 3 % 7 % Total Company 5 %"</t>
        </r>
      </text>
    </comment>
    <comment ref="G83" authorId="0">
      <text>
        <r>
          <rPr>
            <sz val="10"/>
            <rFont val="Arial"/>
            <family val="2"/>
          </rPr>
          <t xml:space="preserve">Item 1 - Membership
Accession 0000909832-24-000049
Quote: "Our member renewal rate was 92.9% in the U.S. and Canada and 90.5% worldwide at the end of 2024"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Change to 1 or 3 to run the bear or bull case. Base = 2.</t>
        </r>
      </text>
    </comment>
    <comment ref="C43" authorId="0">
      <text>
        <r>
          <rPr>
            <sz val="10"/>
            <rFont val="Arial"/>
            <family val="2"/>
          </rPr>
          <t xml:space="preserve">Q1 FY2025 10-Q: 'it is our current intention to spend a total of approximately $5,000 during fiscal 2025'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Balance sheet 2024-11-24; finance leases: finance_lease_liab_total from FY2024 10-K lease note (data/processed)</t>
        </r>
      </text>
    </comment>
    <comment ref="C11" authorId="0">
      <text>
        <r>
          <rPr>
            <sz val="10"/>
            <rFont val="Arial"/>
            <family val="2"/>
          </rPr>
          <t xml:space="preserve">LTM to 2024-11-24 (fiscal year + YTD - prior YTD), scaled to 52 weeks</t>
        </r>
      </text>
    </comment>
    <comment ref="D8" authorId="0">
      <text>
        <r>
          <rPr>
            <sz val="10"/>
            <rFont val="Arial"/>
            <family val="2"/>
          </rPr>
          <t xml:space="preserve">Balance sheet 2024-10-31; finance leases: FinanceLeaseLiabilityCurrent+FinanceLeaseLiabilityNoncurrent</t>
        </r>
      </text>
    </comment>
    <comment ref="D11" authorId="0">
      <text>
        <r>
          <rPr>
            <sz val="10"/>
            <rFont val="Arial"/>
            <family val="2"/>
          </rPr>
          <t xml:space="preserve">LTM to 2024-10-31 (fiscal year + YTD - prior YTD), scaled to 52 weeks</t>
        </r>
      </text>
    </comment>
    <comment ref="E8" authorId="0">
      <text>
        <r>
          <rPr>
            <sz val="10"/>
            <rFont val="Arial"/>
            <family val="2"/>
          </rPr>
          <t xml:space="preserve">Balance sheet 2024-11-02; finance leases: FinanceLeaseLiability from latest 10-K (2024-02-03)</t>
        </r>
      </text>
    </comment>
    <comment ref="E11" authorId="0">
      <text>
        <r>
          <rPr>
            <sz val="10"/>
            <rFont val="Arial"/>
            <family val="2"/>
          </rPr>
          <t xml:space="preserve">LTM to 2024-11-02 (fiscal year + YTD - prior YTD), scaled to 52 weeks</t>
        </r>
      </text>
    </comment>
    <comment ref="F8" authorId="0">
      <text>
        <r>
          <rPr>
            <sz val="10"/>
            <rFont val="Arial"/>
            <family val="2"/>
          </rPr>
          <t xml:space="preserve">Balance sheet 2024-11-02; finance leases: included in debt concepts</t>
        </r>
      </text>
    </comment>
    <comment ref="F11" authorId="0">
      <text>
        <r>
          <rPr>
            <sz val="10"/>
            <rFont val="Arial"/>
            <family val="2"/>
          </rPr>
          <t xml:space="preserve">LTM to 2024-11-02 (fiscal year + YTD - prior YTD), scaled to 52 weeks</t>
        </r>
      </text>
    </comment>
    <comment ref="G8" authorId="0">
      <text>
        <r>
          <rPr>
            <sz val="10"/>
            <rFont val="Arial"/>
            <family val="2"/>
          </rPr>
          <t xml:space="preserve">Balance sheet 2024-11-01; finance leases: included in debt concepts</t>
        </r>
      </text>
    </comment>
    <comment ref="G11" authorId="0">
      <text>
        <r>
          <rPr>
            <sz val="10"/>
            <rFont val="Arial"/>
            <family val="2"/>
          </rPr>
          <t xml:space="preserve">LTM to 2024-11-01 (fiscal year + YTD - prior YTD), scaled to 52 weeks</t>
        </r>
      </text>
    </comment>
    <comment ref="H8" authorId="0">
      <text>
        <r>
          <rPr>
            <sz val="10"/>
            <rFont val="Arial"/>
            <family val="2"/>
          </rPr>
          <t xml:space="preserve">Balance sheet 2024-11-02; finance leases: not tagged</t>
        </r>
      </text>
    </comment>
    <comment ref="H11" authorId="0">
      <text>
        <r>
          <rPr>
            <sz val="10"/>
            <rFont val="Arial"/>
            <family val="2"/>
          </rPr>
          <t xml:space="preserve">LTM to 2024-11-02 (fiscal year + YTD - prior YTD), scaled to 52 weeks</t>
        </r>
      </text>
    </comment>
    <comment ref="I8" authorId="0">
      <text>
        <r>
          <rPr>
            <sz val="10"/>
            <rFont val="Arial"/>
            <family val="2"/>
          </rPr>
          <t xml:space="preserve">Balance sheet 2024-11-09; finance leases: FinanceLeaseLiability from latest 10-K (2024-02-03)</t>
        </r>
      </text>
    </comment>
    <comment ref="I11" authorId="0">
      <text>
        <r>
          <rPr>
            <sz val="10"/>
            <rFont val="Arial"/>
            <family val="2"/>
          </rPr>
          <t xml:space="preserve">LTM to 2024-11-09 (fiscal year + YTD - prior YTD), scaled to 52 weeks</t>
        </r>
      </text>
    </comment>
  </commentList>
</comments>
</file>

<file path=xl/sharedStrings.xml><?xml version="1.0" encoding="utf-8"?>
<sst xmlns="http://schemas.openxmlformats.org/spreadsheetml/2006/main" count="644" uniqueCount="492">
  <si>
    <t xml:space="preserve">Costco Wholesale Corporation (COST): Equity Research and Valuation Model</t>
  </si>
  <si>
    <t xml:space="preserve">Independent academic research and valuation case study; not investment advice.</t>
  </si>
  <si>
    <t xml:space="preserve">Valuation date: 31 January 2025. Only information public on that date is used. Author: Pooja Master.</t>
  </si>
  <si>
    <t xml:space="preserve">Headline outputs</t>
  </si>
  <si>
    <t xml:space="preserve">Active scenario</t>
  </si>
  <si>
    <t xml:space="preserve">WACC</t>
  </si>
  <si>
    <t xml:space="preserve">Terminal growth</t>
  </si>
  <si>
    <t xml:space="preserve">Enterprise value ($m)</t>
  </si>
  <si>
    <t xml:space="preserve">DCF value per share ($)</t>
  </si>
  <si>
    <t xml:space="preserve">Share price, 31 Jan 2025 ($)</t>
  </si>
  <si>
    <t xml:space="preserve">Upside / (downside)</t>
  </si>
  <si>
    <t xml:space="preserve">Model checks</t>
  </si>
  <si>
    <t xml:space="preserve">Sheets</t>
  </si>
  <si>
    <t xml:space="preserve">Historicals</t>
  </si>
  <si>
    <t xml:space="preserve">FY2019-FY2024 statements from 10-K XBRL; comments give the source of every number</t>
  </si>
  <si>
    <t xml:space="preserve">Assumptions</t>
  </si>
  <si>
    <t xml:space="preserve">Forecast drivers with rationale; scenario switch in C5 (1 Bear, 2 Base, 3 Bull)</t>
  </si>
  <si>
    <t xml:space="preserve">Forecast</t>
  </si>
  <si>
    <t xml:space="preserve">Integrated income statement, balance sheet and cash flow; balance check</t>
  </si>
  <si>
    <t xml:space="preserve">Beta</t>
  </si>
  <si>
    <t xml:space="preserve">60-month regression of Costco vs. S&amp;P 500 returns</t>
  </si>
  <si>
    <t xml:space="preserve">CAPM, cost of debt, market-value weights</t>
  </si>
  <si>
    <t xml:space="preserve">DCF</t>
  </si>
  <si>
    <t xml:space="preserve">UFCF, stub and mid-year timing, value-driver terminal value, equity bridge</t>
  </si>
  <si>
    <t xml:space="preserve">Sensitivity</t>
  </si>
  <si>
    <t xml:space="preserve">Live WACC x g and RONIC x g grids; revenue x margin and scenario tables</t>
  </si>
  <si>
    <t xml:space="preserve">Comps</t>
  </si>
  <si>
    <t xml:space="preserve">Peer multiples, quartiles and implied Costco value</t>
  </si>
  <si>
    <t xml:space="preserve">Summary</t>
  </si>
  <si>
    <t xml:space="preserve">Football-field table</t>
  </si>
  <si>
    <t xml:space="preserve">Checks</t>
  </si>
  <si>
    <t xml:space="preserve">Integrity checks and reconciliation to the Python pipeline</t>
  </si>
  <si>
    <t xml:space="preserve">Colour legend</t>
  </si>
  <si>
    <t xml:space="preserve">1,234</t>
  </si>
  <si>
    <t xml:space="preserve">Blue: hardcoded input (sourced in a comment or note)</t>
  </si>
  <si>
    <t xml:space="preserve">Black: formula</t>
  </si>
  <si>
    <t xml:space="preserve">Green: link to another sheet</t>
  </si>
  <si>
    <t xml:space="preserve">Yellow fill: key assumption or output</t>
  </si>
  <si>
    <t xml:space="preserve">Built by src/build_excel.py in github.com/pooja003-cloud/costco-equity-research-valuation</t>
  </si>
  <si>
    <t xml:space="preserve">Historical financial statements, FY2019-FY2024 ($ millions)</t>
  </si>
  <si>
    <t xml:space="preserve">Source: Costco 10-K inline XBRL via src/extract_financials.py. Each value has a comment with its XBRL concept, filing accession and a link to the tagged fact.</t>
  </si>
  <si>
    <t xml:space="preserve">$ millions, fiscal years ending ~31 Aug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</si>
  <si>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</si>
  <si>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</si>
  <si>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</si>
  <si>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</si>
  <si>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</si>
  <si>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</si>
  <si>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Income statement</t>
  </si>
  <si>
    <t xml:space="preserve">Net sales</t>
  </si>
  <si>
    <t xml:space="preserve">Membership fees</t>
  </si>
  <si>
    <t xml:space="preserve">Total revenue</t>
  </si>
  <si>
    <t xml:space="preserve">Merchandise costs</t>
  </si>
  <si>
    <t xml:space="preserve">Selling, general and administrative</t>
  </si>
  <si>
    <t xml:space="preserve">Preopening expenses (in SG&amp;A from FY2022 presentation)</t>
  </si>
  <si>
    <t xml:space="preserve">Operating income</t>
  </si>
  <si>
    <t xml:space="preserve">Interest expense</t>
  </si>
  <si>
    <t xml:space="preserve">Interest income and other, net</t>
  </si>
  <si>
    <t xml:space="preserve">Income before income taxes</t>
  </si>
  <si>
    <t xml:space="preserve">Provision for income taxes</t>
  </si>
  <si>
    <t xml:space="preserve">Net income including noncontrolling interests</t>
  </si>
  <si>
    <t xml:space="preserve">Net income attributable to noncontrolling interests</t>
  </si>
  <si>
    <t xml:space="preserve">Net income attributable to Costco</t>
  </si>
  <si>
    <t xml:space="preserve">EPS - basic ($)</t>
  </si>
  <si>
    <t xml:space="preserve">EPS - diluted ($)</t>
  </si>
  <si>
    <t xml:space="preserve">Weighted avg. shares - basic (m)</t>
  </si>
  <si>
    <t xml:space="preserve">Weighted avg. shares - diluted (m)</t>
  </si>
  <si>
    <t xml:space="preserve">Balance sheet</t>
  </si>
  <si>
    <t xml:space="preserve">Cash and cash equivalents</t>
  </si>
  <si>
    <t xml:space="preserve">Short-term investments</t>
  </si>
  <si>
    <t xml:space="preserve">Receivables, net</t>
  </si>
  <si>
    <t xml:space="preserve">Merchandise inventories</t>
  </si>
  <si>
    <t xml:space="preserve">Other current assets</t>
  </si>
  <si>
    <t xml:space="preserve">Total current assets</t>
  </si>
  <si>
    <t xml:space="preserve">Property and equipment, net</t>
  </si>
  <si>
    <t xml:space="preserve">Operating lease right-of-use assets</t>
  </si>
  <si>
    <t xml:space="preserve">Other long-term assets</t>
  </si>
  <si>
    <t xml:space="preserve">Total assets</t>
  </si>
  <si>
    <t xml:space="preserve">Accounts payable</t>
  </si>
  <si>
    <t xml:space="preserve">Accrued salaries and benefits</t>
  </si>
  <si>
    <t xml:space="preserve">Accrued member rewards</t>
  </si>
  <si>
    <t xml:space="preserve">Deferred membership fees</t>
  </si>
  <si>
    <t xml:space="preserve">Current portion of long-term debt</t>
  </si>
  <si>
    <t xml:space="preserve">Other current liabilities</t>
  </si>
  <si>
    <t xml:space="preserve">Total current liabilities</t>
  </si>
  <si>
    <t xml:space="preserve">Long-term debt, excluding current portion</t>
  </si>
  <si>
    <t xml:space="preserve">Long-term operating lease liabilities</t>
  </si>
  <si>
    <t xml:space="preserve">Other long-term liabilities</t>
  </si>
  <si>
    <t xml:space="preserve">Total liabilities</t>
  </si>
  <si>
    <t xml:space="preserve">Total Costco stockholders' equity</t>
  </si>
  <si>
    <t xml:space="preserve">Noncontrolling interests</t>
  </si>
  <si>
    <t xml:space="preserve">Total equity</t>
  </si>
  <si>
    <t xml:space="preserve">Total liabilities and equity</t>
  </si>
  <si>
    <t xml:space="preserve">Common shares outstanding (m)</t>
  </si>
  <si>
    <t xml:space="preserve">Cash flow</t>
  </si>
  <si>
    <t xml:space="preserve">Net cash provided by operating activities</t>
  </si>
  <si>
    <t xml:space="preserve">Depreciation and amortization</t>
  </si>
  <si>
    <t xml:space="preserve">Stock-based compensation</t>
  </si>
  <si>
    <t xml:space="preserve">(Increase) decrease in merchandise inventories</t>
  </si>
  <si>
    <t xml:space="preserve">Increase in accounts payable</t>
  </si>
  <si>
    <t xml:space="preserve">Other operating assets and liabilities, net</t>
  </si>
  <si>
    <t xml:space="preserve">Additions to property and equipment</t>
  </si>
  <si>
    <t xml:space="preserve">Net cash used in investing activities</t>
  </si>
  <si>
    <t xml:space="preserve">Cash dividend payments</t>
  </si>
  <si>
    <t xml:space="preserve">Repurchases of common stock</t>
  </si>
  <si>
    <t xml:space="preserve">Proceeds from issuance of long-term debt</t>
  </si>
  <si>
    <t xml:space="preserve">Repayments of long-term debt</t>
  </si>
  <si>
    <t xml:space="preserve">Net cash used in financing activities</t>
  </si>
  <si>
    <t xml:space="preserve">Effect of exchange rates on cash</t>
  </si>
  <si>
    <t xml:space="preserve">Net change in cash and cash equivalents</t>
  </si>
  <si>
    <t xml:space="preserve">Income taxes paid (supplemental)</t>
  </si>
  <si>
    <t xml:space="preserve">Interest paid (supplemental)</t>
  </si>
  <si>
    <t xml:space="preserve">Lease note</t>
  </si>
  <si>
    <t xml:space="preserve">Operating lease liabilities (current + long-term)</t>
  </si>
  <si>
    <t xml:space="preserve">Total lease liabilities (operating + finance)</t>
  </si>
  <si>
    <t xml:space="preserve">Finance lease liabilities (current + long-term)</t>
  </si>
  <si>
    <t xml:space="preserve">Operating metrics</t>
  </si>
  <si>
    <t xml:space="preserve">Warehouses (end of year)</t>
  </si>
  <si>
    <t xml:space="preserve">Paid members (m)</t>
  </si>
  <si>
    <t xml:space="preserve">Executive members (m)</t>
  </si>
  <si>
    <t xml:space="preserve">Comparable sales growth (%)</t>
  </si>
  <si>
    <t xml:space="preserve">Renewal rate US &amp; Canada (%)</t>
  </si>
  <si>
    <t xml:space="preserve">Ratios (formulas)</t>
  </si>
  <si>
    <t xml:space="preserve">Revenue growth</t>
  </si>
  <si>
    <t xml:space="preserve">Gross margin on net sales</t>
  </si>
  <si>
    <t xml:space="preserve">SG&amp;A % net sales</t>
  </si>
  <si>
    <t xml:space="preserve">Operating margin</t>
  </si>
  <si>
    <t xml:space="preserve">Membership fees / operating income</t>
  </si>
  <si>
    <t xml:space="preserve">Effective tax rate</t>
  </si>
  <si>
    <t xml:space="preserve">Capex % revenue</t>
  </si>
  <si>
    <t xml:space="preserve">Free cash flow (CFO - capex)</t>
  </si>
  <si>
    <t xml:space="preserve">Forecast and valuation assumptions (FY2025-FY2029)</t>
  </si>
  <si>
    <t xml:space="preserve">Values and rationale mirror config/assumptions.json, config/valuation.json and config/scenarios.json. Change blue cells; the model updates.</t>
  </si>
  <si>
    <t xml:space="preserve">Scenario selector (1 = Bear, 2 = Base, 3 = Bull)</t>
  </si>
  <si>
    <t xml:space="preserve">Driver</t>
  </si>
  <si>
    <t xml:space="preserve">Unit</t>
  </si>
  <si>
    <t xml:space="preserve">FY2025E</t>
  </si>
  <si>
    <t xml:space="preserve">FY2026E</t>
  </si>
  <si>
    <t xml:space="preserve">FY2027E</t>
  </si>
  <si>
    <t xml:space="preserve">FY2028E</t>
  </si>
  <si>
    <t xml:space="preserve">FY2029E</t>
  </si>
  <si>
    <t xml:space="preserve">Rationale / source</t>
  </si>
  <si>
    <t xml:space="preserve">Net new warehouses</t>
  </si>
  <si>
    <t xml:space="preserve">count</t>
  </si>
  <si>
    <t xml:space="preserve">FY2025: management plans 29 openings including 3 relocations, so 26 net (Q1 FY2025 10-Q). FY2026-29: 27 a year, the average of FY2024 actual (29) and FY2025 plan (26). This is above the FY2021-23 pace of 20-23 because the opening pipeline has accelerated.</t>
  </si>
  <si>
    <t xml:space="preserve">   Bear</t>
  </si>
  <si>
    <t xml:space="preserve">   Base</t>
  </si>
  <si>
    <t xml:space="preserve">   Bull</t>
  </si>
  <si>
    <t xml:space="preserve">Comparable sales growth (reported)</t>
  </si>
  <si>
    <t xml:space="preserve">%</t>
  </si>
  <si>
    <t xml:space="preserve">Reported comps, including gasoline and FX. Q1 FY2025 total comps were 5% (7% excl. gas &amp; FX; lower gas prices and a stronger dollar held the reported number back). FY2025 is set at 5.5%, assuming these headwinds ease a little. The rate then fades to 4.0% by FY2028: roughly 2-2.5% inflation plus 1.5-2% traffic and market-share gains. That is below the FY2023-24 ex-gas/FX run-rate of 5-6% and the FY2016-19 pre-pandemic average of about 5%, because a larger base makes high comps harder to sustain.</t>
  </si>
  <si>
    <t xml:space="preserve">Paid member growth</t>
  </si>
  <si>
    <t xml:space="preserve">Year-end paid members grew 6-8% a year in FY2021-24, averaging 7.0%, and were up 7.5% year on year at Q1 FY2025 (77.4m vs 72.0m). Growth fades toward 5% as more new warehouses open in existing markets, which lowers the member uplift per opening (a point the 10-Q itself makes).</t>
  </si>
  <si>
    <t xml:space="preserve">FY2024 was 10.92%. Q1 FY2025 rose 24bp year on year (7bp excluding gasoline deflation), helped by core merchandise mix and the co-branded credit card. The model holds 11.0%, at the upper end of the FY2020-24 range (10.5-11.2%). The model assumes no further expansion because Costco reinvests margin in price, and the higher Executive reward cap ($1,250 from $1,000) is a small cost.</t>
  </si>
  <si>
    <t xml:space="preserve">SG&amp;A % of net sales</t>
  </si>
  <si>
    <t xml:space="preserve">FY2024 was 9.14%. Q1 FY2025 was 14bp higher year on year, flat excluding gasoline deflation. The model holds 9.20%: wage investment and technology spend offset further operating leverage. This deliberately assumes no additional SG&amp;A leverage, even though SG&amp;A fell from 10.0% to 9.1% of net sales over FY2020-24.</t>
  </si>
  <si>
    <t xml:space="preserve">Single-value drivers</t>
  </si>
  <si>
    <t xml:space="preserve">New-warehouse productivity (x unit growth)</t>
  </si>
  <si>
    <t xml:space="preserve">x</t>
  </si>
  <si>
    <t xml:space="preserve">New warehouses open below the fleet average and ramp up over several years. Historically, net sales growth not explained by comps was about 0.6-0.7x net unit growth (FY2021 0.66, FY2022 0.70, FY2023 0.63, FY2024 0.60). Growth from new warehouses = 0.65 x net unit growth.</t>
  </si>
  <si>
    <t xml:space="preserve">Fee increase on affected fees</t>
  </si>
  <si>
    <t xml:space="preserve">$60 to $65 and $120 to $130 (+8.3%), FY2024 10-K</t>
  </si>
  <si>
    <t xml:space="preserve">Share of fee income affected (U.S. &amp; Canada)</t>
  </si>
  <si>
    <t xml:space="preserve">Effective 1 Sep 2024, the U.S./Canada Gold Star and Business fee rose from $60 to $65 (+8.3%) and the Executive fee from $120 to $130 (+8.3%), as disclosed in the FY2024 10-K. Affected share = 85%, a proxy based on U.S. and Canada being 86% of revenue (Costco does not split fee income by segment). Fees are recognized over the 12-month membership term and renewals are spread across the year, so about half the uplift lands in FY2025 and the rest in FY2026. Net effect: fee per member +3.5% in FY2025 and +3.5% in FY2026.</t>
  </si>
  <si>
    <t xml:space="preserve">Share of fee increase recognised in year</t>
  </si>
  <si>
    <t xml:space="preserve">Fees are recognised ratably over the 12-month membership; renewals are spread through the year</t>
  </si>
  <si>
    <t xml:space="preserve">Other fee-per-member growth</t>
  </si>
  <si>
    <t xml:space="preserve">Apart from fee increases, fee income per average paid member was flat at about $65-66 in FY2021-24: more Executive upgrades were offset by growth in lower-fee international members. The next fee increase (historically every 5.5-7 years: 2011, 2017, 2024) would fall around FY2030-31, after the explicit forecast, so it is not included. It is an upside to the terminal value.</t>
  </si>
  <si>
    <t xml:space="preserve">Tax rate</t>
  </si>
  <si>
    <t xml:space="preserve">Effective rate excluding discrete items was 25.9-26.6% in FY2020-24 (26.4% in FY2024). Recurring stock-compensation deductions trim a few tenths off in most years, so the model uses 26.0% on both NOPAT and net income.</t>
  </si>
  <si>
    <t xml:space="preserve">D&amp;A % of beginning net PP&amp;E</t>
  </si>
  <si>
    <t xml:space="preserve">D&amp;A as a share of beginning net PP&amp;E was 8.2%, 8.1%, 8.4% and 8.4% in FY2021-24. Linking D&amp;A to the asset base keeps capex and depreciation consistent.</t>
  </si>
  <si>
    <t xml:space="preserve">Capex % of revenue (FY2026+)</t>
  </si>
  <si>
    <t xml:space="preserve">FY2025: management's stated plan of about $5.0bn (Q1 FY2025 10-Q). FY2026-29: 1.85% of revenue, in line with FY2021-24 (1.71-1.85%) and consistent with about 27 openings a year plus remodels, depots and technology.</t>
  </si>
  <si>
    <t xml:space="preserve">Capex FY2025 (management plan)</t>
  </si>
  <si>
    <t xml:space="preserve">$m</t>
  </si>
  <si>
    <t xml:space="preserve">Receivables % revenue</t>
  </si>
  <si>
    <t xml:space="preserve">Held at FY2024 ratio</t>
  </si>
  <si>
    <t xml:space="preserve">Inventories % revenue</t>
  </si>
  <si>
    <t xml:space="preserve">Other current assets % revenue</t>
  </si>
  <si>
    <t xml:space="preserve">Accounts payable % revenue</t>
  </si>
  <si>
    <t xml:space="preserve">Accrued salaries % revenue</t>
  </si>
  <si>
    <t xml:space="preserve">Accrued member rewards % revenue</t>
  </si>
  <si>
    <t xml:space="preserve">Other current liabilities % revenue</t>
  </si>
  <si>
    <t xml:space="preserve">Deferred membership fees % fee income</t>
  </si>
  <si>
    <t xml:space="preserve">Interest expense stays at the FY2024 level ($169m) because debt is held flat and the senior notes are fixed-rate. Interest income is a yield on beginning-of-year cash and short-term investments, with no circular reference. FY2024 earned 4.1% on beginning balances. Yields step down from 3.5% to 3.0% after the Fed's Sep-Dec 2024 rate cuts.</t>
  </si>
  <si>
    <t xml:space="preserve">Interest income yield on beginning cash + STI</t>
  </si>
  <si>
    <t xml:space="preserve">Dividend payout of net income</t>
  </si>
  <si>
    <t xml:space="preserve">Regular payout was 26-30% of EPS in FY2020-24. No special dividends are assumed, so excess cash builds on the balance sheet. That does not change enterprise value in the DCF. Buybacks of $700m a year match FY2024 and roughly offset stock-compensation dilution, so diluted shares stay flat at the Q1 FY2025 count. None of these financing assumptions affect the unlevered DCF. They are used to balance the three statements.</t>
  </si>
  <si>
    <t xml:space="preserve">Share repurchases</t>
  </si>
  <si>
    <t xml:space="preserve">Stock-based compensation % revenue</t>
  </si>
  <si>
    <t xml:space="preserve">FY2024 level (0.32%)</t>
  </si>
  <si>
    <t xml:space="preserve">Diluted shares</t>
  </si>
  <si>
    <t xml:space="preserve">m</t>
  </si>
  <si>
    <t xml:space="preserve">Q1 FY2025 10-Q diluted weighted shares</t>
  </si>
  <si>
    <t xml:space="preserve">Terminal value (C = active scenario; D/E/F = Bear/Base/Bull)</t>
  </si>
  <si>
    <t xml:space="preserve">Terminal growth (g)</t>
  </si>
  <si>
    <t xml:space="preserve">3.0% nominal perpetual growth. That is below expected long-run nominal GDP (about 4%) and below the 4.58% risk-free rate, as a perpetuity must be. Costco still has international runway, but no company can outgrow the economy forever. 2.5-3.5% is tested in Phase 6.</t>
  </si>
  <si>
    <t xml:space="preserve">Terminal return on new invested capital (RONIC)</t>
  </si>
  <si>
    <t xml:space="preserve">The terminal cash flow uses the value-driver formula: FCF = NOPAT x (1 - g / RONIC), so reinvestment matches the growth assumed. ROIC was about 30% in FY2021-24 (incremental about 49%). 25% assumes the membership moat keeps returns well above WACC but not at today's level. 15-35% is tested in Phase 6.</t>
  </si>
  <si>
    <t xml:space="preserve">Integrated three-statement forecast ($ millions)</t>
  </si>
  <si>
    <t xml:space="preserve">FY2024A links to Historicals; FY2025E-FY2029E are formulas driven by Assumptions. Cash is the only plug; see the balance check.</t>
  </si>
  <si>
    <t xml:space="preserve">$ millions</t>
  </si>
  <si>
    <t xml:space="preserve">Note</t>
  </si>
  <si>
    <t xml:space="preserve">FY2024A</t>
  </si>
  <si>
    <t xml:space="preserve">Operating drivers</t>
  </si>
  <si>
    <t xml:space="preserve">Net unit growth</t>
  </si>
  <si>
    <t xml:space="preserve">Comparable sales growth</t>
  </si>
  <si>
    <t xml:space="preserve">Growth from new warehouses</t>
  </si>
  <si>
    <t xml:space="preserve">Net sales growth</t>
  </si>
  <si>
    <t xml:space="preserve">Paid members, end of year (m)</t>
  </si>
  <si>
    <t xml:space="preserve">Fee increase recognised</t>
  </si>
  <si>
    <t xml:space="preserve">Fee income per average paid member ($)</t>
  </si>
  <si>
    <t xml:space="preserve">SG&amp;A</t>
  </si>
  <si>
    <t xml:space="preserve">Operating income (EBIT)</t>
  </si>
  <si>
    <t xml:space="preserve">Interest income and other</t>
  </si>
  <si>
    <t xml:space="preserve">Income before taxes</t>
  </si>
  <si>
    <t xml:space="preserve">Income taxes</t>
  </si>
  <si>
    <t xml:space="preserve">Net income</t>
  </si>
  <si>
    <t xml:space="preserve">Diluted shares (m)</t>
  </si>
  <si>
    <t xml:space="preserve">Diluted EPS ($)</t>
  </si>
  <si>
    <t xml:space="preserve">Depreciation &amp; amortisation</t>
  </si>
  <si>
    <t xml:space="preserve">EBITDA</t>
  </si>
  <si>
    <t xml:space="preserve">Receivables</t>
  </si>
  <si>
    <t xml:space="preserve">Operating lease ROU assets</t>
  </si>
  <si>
    <t xml:space="preserve">Long-term debt</t>
  </si>
  <si>
    <t xml:space="preserve">Balance check (assets - liabilities - equity)</t>
  </si>
  <si>
    <t xml:space="preserve">Operating working capital</t>
  </si>
  <si>
    <t xml:space="preserve">Cash flow statement</t>
  </si>
  <si>
    <t xml:space="preserve">D&amp;A</t>
  </si>
  <si>
    <t xml:space="preserve">Decrease / (increase) in working capital</t>
  </si>
  <si>
    <t xml:space="preserve">Cash from operations</t>
  </si>
  <si>
    <t xml:space="preserve">Capital expenditure</t>
  </si>
  <si>
    <t xml:space="preserve">Cash from investing</t>
  </si>
  <si>
    <t xml:space="preserve">Dividends</t>
  </si>
  <si>
    <t xml:space="preserve">Cash from financing</t>
  </si>
  <si>
    <t xml:space="preserve">Net change in cash</t>
  </si>
  <si>
    <t xml:space="preserve">Beta regression: Costco vs. S&amp;P 500, 60 monthly total returns (Feb 2020 - Jan 2025)</t>
  </si>
  <si>
    <t xml:space="preserve">Source: Yahoo Finance dividend/split-adjusted monthly closes (data/raw/market/yahoo_*_monthly.csv).</t>
  </si>
  <si>
    <t xml:space="preserve">Month</t>
  </si>
  <si>
    <t xml:space="preserve">COST adj. close</t>
  </si>
  <si>
    <t xml:space="preserve">S&amp;P 500 close</t>
  </si>
  <si>
    <t xml:space="preserve">COST return</t>
  </si>
  <si>
    <t xml:space="preserve">S&amp;P 500 return</t>
  </si>
  <si>
    <t xml:space="preserve">Regression</t>
  </si>
  <si>
    <t xml:space="preserve">Jan 2020</t>
  </si>
  <si>
    <t xml:space="preserve">Raw beta (SLOPE)</t>
  </si>
  <si>
    <t xml:space="preserve">Feb 2020</t>
  </si>
  <si>
    <t xml:space="preserve">R-squared (RSQ)</t>
  </si>
  <si>
    <t xml:space="preserve">Mar 2020</t>
  </si>
  <si>
    <t xml:space="preserve">Observations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</si>
  <si>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</si>
  <si>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</si>
  <si>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</si>
  <si>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</si>
  <si>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</si>
  <si>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</si>
  <si>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</si>
  <si>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</si>
  <si>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</si>
  <si>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</si>
  <si>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</si>
  <si>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</si>
  <si>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</si>
  <si>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</si>
  <si>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</si>
  <si>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</si>
  <si>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</si>
  <si>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</si>
  <si>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</si>
  <si>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</si>
  <si>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</si>
  <si>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</si>
  <si>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</si>
  <si>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</si>
  <si>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</si>
  <si>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</si>
  <si>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</si>
  <si>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</si>
  <si>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</si>
  <si>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</si>
  <si>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</si>
  <si>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</si>
  <si>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</si>
  <si>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</si>
  <si>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</si>
  <si>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</si>
  <si>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</si>
  <si>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</si>
  <si>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</si>
  <si>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</si>
  <si>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</si>
  <si>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</si>
  <si>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</si>
  <si>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</si>
  <si>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</si>
  <si>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</si>
  <si>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</si>
  <si>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</si>
  <si>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</si>
  <si>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</si>
  <si>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</si>
  <si>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</si>
  <si>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</si>
  <si>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</si>
  <si>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</si>
  <si>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</si>
  <si>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</si>
  <si>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</si>
  <si>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Weighted average cost of capital, 31 Jan 2025</t>
  </si>
  <si>
    <t xml:space="preserve">WACC = E/(D+E) x Re + D/(D+E) x Rd x (1 - T);  Re = Rf + beta x ERP</t>
  </si>
  <si>
    <t xml:space="preserve">Item</t>
  </si>
  <si>
    <t xml:space="preserve">Value</t>
  </si>
  <si>
    <t xml:space="preserve">Source / note</t>
  </si>
  <si>
    <t xml:space="preserve">Risk-free rate (10-year Treasury, 31 Jan 2025)</t>
  </si>
  <si>
    <t xml:space="preserve">FRED DGS10 = 4.58% on 31 Jan 2025 (data/raw/market/fred_DGS10.csv)</t>
  </si>
  <si>
    <t xml:space="preserve">Equity risk premium</t>
  </si>
  <si>
    <t xml:space="preserve">Damodaran implied ERP (FCFE), start of 2025 = 4.33% (histimpl.xls)</t>
  </si>
  <si>
    <t xml:space="preserve">Raw beta</t>
  </si>
  <si>
    <t xml:space="preserve">Beta sheet: SLOPE of 60 monthly returns</t>
  </si>
  <si>
    <t xml:space="preserve">Blume weight on raw beta</t>
  </si>
  <si>
    <t xml:space="preserve">Adjusted beta = 0.67 x raw + 0.33 x 1.0</t>
  </si>
  <si>
    <t xml:space="preserve">Adjusted beta</t>
  </si>
  <si>
    <t xml:space="preserve">Cost of equity</t>
  </si>
  <si>
    <t xml:space="preserve">ICE BofA AA corporate OAS</t>
  </si>
  <si>
    <t xml:space="preserve">FRED BAMLC0A2CAA, 31 Jan 2025</t>
  </si>
  <si>
    <t xml:space="preserve">ICE BofA A corporate OAS</t>
  </si>
  <si>
    <t xml:space="preserve">FRED BAMLC0A3CA, 31 Jan 2025</t>
  </si>
  <si>
    <t xml:space="preserve">Pre-tax cost of debt</t>
  </si>
  <si>
    <t xml:space="preserve">After-tax cost of debt</t>
  </si>
  <si>
    <t xml:space="preserve">Yahoo Finance close, 31 Jan 2025</t>
  </si>
  <si>
    <t xml:space="preserve">Basic shares outstanding (m)</t>
  </si>
  <si>
    <t xml:space="preserve">10-Q cover page, shares outstanding at 2024-12-11</t>
  </si>
  <si>
    <t xml:space="preserve">RSU dilution (m)</t>
  </si>
  <si>
    <t xml:space="preserve">Q1 FY2025 diluted less basic weighted shares (treasury-stock method)</t>
  </si>
  <si>
    <t xml:space="preserve">Equity market value ($m)</t>
  </si>
  <si>
    <t xml:space="preserve">Fair value of long-term debt ($m)</t>
  </si>
  <si>
    <t xml:space="preserve">Q1 FY2025 10-Q: fair value of long-term debt incl. current portion</t>
  </si>
  <si>
    <t xml:space="preserve">Finance lease liabilities ($m)</t>
  </si>
  <si>
    <t xml:space="preserve">FY2024 10-K lease note: total lease liabilities 4,052 less operating 2,554</t>
  </si>
  <si>
    <t xml:space="preserve">Debt incl. finance leases ($m)</t>
  </si>
  <si>
    <t xml:space="preserve">Weight of equity</t>
  </si>
  <si>
    <t xml:space="preserve">Weight of debt</t>
  </si>
  <si>
    <t xml:space="preserve">Discounted cash flow valuation, 31 Jan 2025 ($ millions)</t>
  </si>
  <si>
    <t xml:space="preserve">UFCF = EBIT x (1 - T) + D&amp;A - capex - increase in working capital. Mid-year convention; FY2025 is a stub from the 24 Nov 2024 balance sheet.</t>
  </si>
  <si>
    <t xml:space="preserve">Valuation date</t>
  </si>
  <si>
    <t xml:space="preserve">Balance-sheet date (Q1 FY2025 10-Q)</t>
  </si>
  <si>
    <t xml:space="preserve">FY2025 start</t>
  </si>
  <si>
    <t xml:space="preserve">Terminal RONIC</t>
  </si>
  <si>
    <t xml:space="preserve">Fiscal year end</t>
  </si>
  <si>
    <t xml:space="preserve">EBIT</t>
  </si>
  <si>
    <t xml:space="preserve">Taxes on EBIT</t>
  </si>
  <si>
    <t xml:space="preserve">NOPAT</t>
  </si>
  <si>
    <t xml:space="preserve">+ D&amp;A</t>
  </si>
  <si>
    <t xml:space="preserve">- Capex</t>
  </si>
  <si>
    <t xml:space="preserve">+ Working capital released</t>
  </si>
  <si>
    <t xml:space="preserve">Unlevered free cash flow</t>
  </si>
  <si>
    <t xml:space="preserve">Share of year counted</t>
  </si>
  <si>
    <t xml:space="preserve">Period start</t>
  </si>
  <si>
    <t xml:space="preserve">Period midpoint</t>
  </si>
  <si>
    <t xml:space="preserve">Discount time (years from valuation date)</t>
  </si>
  <si>
    <t xml:space="preserve">UFCF in period</t>
  </si>
  <si>
    <t xml:space="preserve">Discount factor</t>
  </si>
  <si>
    <t xml:space="preserve">PV of UFCF</t>
  </si>
  <si>
    <t xml:space="preserve">Terminal value</t>
  </si>
  <si>
    <t xml:space="preserve">NOPAT FY2030 = EBIT FY2029 x (1 + g) x (1 - T)</t>
  </si>
  <si>
    <t xml:space="preserve">Reinvestment rate = g / RONIC</t>
  </si>
  <si>
    <t xml:space="preserve">Terminal FCF FY2030</t>
  </si>
  <si>
    <t xml:space="preserve">Terminal value = FCF / (WACC - g)</t>
  </si>
  <si>
    <t xml:space="preserve">PV of terminal value (discounted consistently with mid-year flows)</t>
  </si>
  <si>
    <t xml:space="preserve">Enterprise value to equity value</t>
  </si>
  <si>
    <t xml:space="preserve">Sum of PV of UFCF</t>
  </si>
  <si>
    <t xml:space="preserve">PV of terminal value</t>
  </si>
  <si>
    <t xml:space="preserve">Enterprise value</t>
  </si>
  <si>
    <t xml:space="preserve">Terminal value % of EV</t>
  </si>
  <si>
    <t xml:space="preserve">+ Cash and cash equivalents (24 Nov 2024)</t>
  </si>
  <si>
    <t xml:space="preserve">Q1 FY2025 10-Q balance sheet</t>
  </si>
  <si>
    <t xml:space="preserve">+ Short-term investments</t>
  </si>
  <si>
    <t xml:space="preserve">- Debt (current + long-term, carrying value)</t>
  </si>
  <si>
    <t xml:space="preserve">Q1 FY2025 10-Q: 97 + 5,745</t>
  </si>
  <si>
    <t xml:space="preserve">- Finance lease liabilities</t>
  </si>
  <si>
    <t xml:space="preserve">Equity value</t>
  </si>
  <si>
    <t xml:space="preserve">Value per share ($)</t>
  </si>
  <si>
    <t xml:space="preserve">Share price 31 Jan 2025 ($)</t>
  </si>
  <si>
    <t xml:space="preserve">Implied terminal EV / FY2029 EBITDA</t>
  </si>
  <si>
    <t xml:space="preserve">Net cash</t>
  </si>
  <si>
    <t xml:space="preserve">Market EV (market cap - net cash)</t>
  </si>
  <si>
    <t xml:space="preserve">Market EV / FY2025E EBITDA</t>
  </si>
  <si>
    <t xml:space="preserve">Reverse DCF: terminal growth implied by the price</t>
  </si>
  <si>
    <t xml:space="preserve">Solved in src/dcf.py by bisection. To re-solve here: Data &gt; What-If Analysis &gt; Goal Seek, set DCF value per share = price by changing Assumptions!E(terminal g, Base).</t>
  </si>
  <si>
    <t xml:space="preserve">Sensitivity analysis: DCF value per share ($)</t>
  </si>
  <si>
    <t xml:space="preserve">Grids 1-2 are live formulas that recompute the DCF for each cell. Grid 3 needs the forecast re-run per cell, so it is pasted from src/sensitivity.py.</t>
  </si>
  <si>
    <t xml:space="preserve">Row and column headers in blue are editable; WACC rows are centred on the live WACC. Yellow = base case.</t>
  </si>
  <si>
    <t xml:space="preserve">1. WACC x terminal growth</t>
  </si>
  <si>
    <t xml:space="preserve">WACC (rows) x terminal growth (columns); RONIC held at base</t>
  </si>
  <si>
    <t xml:space="preserve">2. Terminal RONIC x terminal growth (terminal-year cash flow)</t>
  </si>
  <si>
    <t xml:space="preserve">RONIC (rows) x terminal growth (columns); WACC held at base</t>
  </si>
  <si>
    <t xml:space="preserve">3. Comparable-sales growth x gross margin (static values from src/sensitivity.py)</t>
  </si>
  <si>
    <t xml:space="preserve">Each cell re-runs the full three-statement forecast, which a formula grid cannot do; re-run python -m src.sensitivity to refresh.</t>
  </si>
  <si>
    <t xml:space="preserve">GM -30bp</t>
  </si>
  <si>
    <t xml:space="preserve">GM -15bp</t>
  </si>
  <si>
    <t xml:space="preserve">GM +0bp</t>
  </si>
  <si>
    <t xml:space="preserve">GM +15bp</t>
  </si>
  <si>
    <t xml:space="preserve">GM +30bp</t>
  </si>
  <si>
    <t xml:space="preserve">comps -2pp (FY24-29 revenue CAGR 4.6%)</t>
  </si>
  <si>
    <t xml:space="preserve">comps -1pp (FY24-29 revenue CAGR 5.6%)</t>
  </si>
  <si>
    <t xml:space="preserve">comps +0pp (FY24-29 revenue CAGR 6.6%)</t>
  </si>
  <si>
    <t xml:space="preserve">comps +1pp (FY24-29 revenue CAGR 7.6%)</t>
  </si>
  <si>
    <t xml:space="preserve">comps +2pp (FY24-29 revenue CAGR 8.6%)</t>
  </si>
  <si>
    <t xml:space="preserve">4. Bear / base / bull (static values from src/sensitivity.py; set Assumptions!C5 to 1 or 3 to run a case live)</t>
  </si>
  <si>
    <t xml:space="preserve">Bear</t>
  </si>
  <si>
    <t xml:space="preserve">Base</t>
  </si>
  <si>
    <t xml:space="preserve">Bull</t>
  </si>
  <si>
    <t xml:space="preserve">FY24-29 revenue CAGR</t>
  </si>
  <si>
    <t xml:space="preserve">FY2029 operating margin</t>
  </si>
  <si>
    <t xml:space="preserve">Probability</t>
  </si>
  <si>
    <t xml:space="preserve">Probability-weighted value ($)</t>
  </si>
  <si>
    <t xml:space="preserve">Comparable-company analysis, 31 Jan 2025 ($ millions)</t>
  </si>
  <si>
    <t xml:space="preserve">Inputs (blue) from SEC XBRL company facts filed on or before 31 Jan 2025 and Yahoo Finance; LTM on a 52-week basis (src/ltm.py). EV excludes operating leases.</t>
  </si>
  <si>
    <t xml:space="preserve">COST</t>
  </si>
  <si>
    <t xml:space="preserve">WMT</t>
  </si>
  <si>
    <t xml:space="preserve">BJ</t>
  </si>
  <si>
    <t xml:space="preserve">TGT</t>
  </si>
  <si>
    <t xml:space="preserve">DG</t>
  </si>
  <si>
    <t xml:space="preserve">DLTR</t>
  </si>
  <si>
    <t xml:space="preserve">KR</t>
  </si>
  <si>
    <t xml:space="preserve">Share price 31 Jan 2025</t>
  </si>
  <si>
    <t xml:space="preserve">$</t>
  </si>
  <si>
    <t xml:space="preserve">Shares outstanding (cover page)</t>
  </si>
  <si>
    <t xml:space="preserve">Debt incl. finance leases</t>
  </si>
  <si>
    <t xml:space="preserve">Noncontrolling interest</t>
  </si>
  <si>
    <t xml:space="preserve">Cash and short-term investments</t>
  </si>
  <si>
    <t xml:space="preserve">LTM revenue</t>
  </si>
  <si>
    <t xml:space="preserve">LTM operating income</t>
  </si>
  <si>
    <t xml:space="preserve">LTM D&amp;A</t>
  </si>
  <si>
    <t xml:space="preserve">LTM net income</t>
  </si>
  <si>
    <t xml:space="preserve">Revenue growth, YTD y/y</t>
  </si>
  <si>
    <t xml:space="preserve">Revenue CAGR, 3 years</t>
  </si>
  <si>
    <t xml:space="preserve">Market capitalisation</t>
  </si>
  <si>
    <t xml:space="preserve">LTM EBITDA</t>
  </si>
  <si>
    <t xml:space="preserve">EBITDA margin</t>
  </si>
  <si>
    <t xml:space="preserve">EV / Revenue</t>
  </si>
  <si>
    <t xml:space="preserve">EV / EBITDA</t>
  </si>
  <si>
    <t xml:space="preserve">P / E</t>
  </si>
  <si>
    <t xml:space="preserve">P / S</t>
  </si>
  <si>
    <t xml:space="preserve">Growth-adjusted EV/EBITDA</t>
  </si>
  <si>
    <t xml:space="preserve">Tier</t>
  </si>
  <si>
    <t xml:space="preserve">Subject</t>
  </si>
  <si>
    <t xml:space="preserve">Tier 1</t>
  </si>
  <si>
    <t xml:space="preserve">Tier 2</t>
  </si>
  <si>
    <t xml:space="preserve">Tier 3</t>
  </si>
  <si>
    <t xml:space="preserve">Peer statistics (excl. Costco)</t>
  </si>
  <si>
    <t xml:space="preserve">25th pct</t>
  </si>
  <si>
    <t xml:space="preserve">Median</t>
  </si>
  <si>
    <t xml:space="preserve">75th pct</t>
  </si>
  <si>
    <t xml:space="preserve">Tier 1 median</t>
  </si>
  <si>
    <t xml:space="preserve">Costco</t>
  </si>
  <si>
    <t xml:space="preserve">vs. median</t>
  </si>
  <si>
    <t xml:space="preserve">Implied Costco value per share ($)</t>
  </si>
  <si>
    <t xml:space="preserve">Costco metric</t>
  </si>
  <si>
    <t xml:space="preserve">Valuation summary ($ per share)</t>
  </si>
  <si>
    <t xml:space="preserve">Football-field inputs; every number links to the sheet that computes it.</t>
  </si>
  <si>
    <t xml:space="preserve">Method</t>
  </si>
  <si>
    <t xml:space="preserve">Low</t>
  </si>
  <si>
    <t xml:space="preserve">Central</t>
  </si>
  <si>
    <t xml:space="preserve">High</t>
  </si>
  <si>
    <t xml:space="preserve">DCF: bear / base / bull</t>
  </si>
  <si>
    <t xml:space="preserve">DCF: WACC +/-0.5pp, growth +/-0.5pp</t>
  </si>
  <si>
    <t xml:space="preserve">Comps: EV/EBITDA (peer 25th-75th)</t>
  </si>
  <si>
    <t xml:space="preserve">Comps: P/E (peer 25th-75th)</t>
  </si>
  <si>
    <t xml:space="preserve">Comps: EV/Revenue (peer 25th-75th)</t>
  </si>
  <si>
    <t xml:space="preserve">Comps: Tier 1 median (EV/EBITDA to P/E)</t>
  </si>
  <si>
    <t xml:space="preserve">Share price, 31 Jan 2025</t>
  </si>
  <si>
    <t xml:space="preserve">Probability-weighted DCF value</t>
  </si>
  <si>
    <t xml:space="preserve">DCF value vs. price</t>
  </si>
  <si>
    <t xml:space="preserve">Integrity checks and a reconciliation of every headline number to the Python pipeline (outputs/tables). All flags should read OK.</t>
  </si>
  <si>
    <t xml:space="preserve">Check</t>
  </si>
  <si>
    <t xml:space="preserve">Excel</t>
  </si>
  <si>
    <t xml:space="preserve">Python / expected</t>
  </si>
  <si>
    <t xml:space="preserve">Difference</t>
  </si>
  <si>
    <t xml:space="preserve">Status</t>
  </si>
  <si>
    <t xml:space="preserve">Balance sheet balances, every year (sum of |check|)</t>
  </si>
  <si>
    <t xml:space="preserve">Cash flow ties to balance-sheet cash, FY2025-29</t>
  </si>
  <si>
    <t xml:space="preserve">FY2024 revenue links to Historicals ($m)</t>
  </si>
  <si>
    <t xml:space="preserve">FY2029 revenue ($m)</t>
  </si>
  <si>
    <t xml:space="preserve">FY2029 operating income ($m)</t>
  </si>
  <si>
    <t xml:space="preserve">FY2025 EPS ($)</t>
  </si>
  <si>
    <t xml:space="preserve">Sensitivity grid centre = base value ($)</t>
  </si>
  <si>
    <t xml:space="preserve">Comps: Costco EV/EBITDA</t>
  </si>
  <si>
    <t xml:space="preserve">Comps: peer median EV/EBITDA</t>
  </si>
  <si>
    <t xml:space="preserve">Scenario selector is on Base (2)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</si>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</sst>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;\(0.00%\);\-"/>
    <numFmt numFmtId="166" formatCode="0.0%;\(0.0%\);\-"/>
    <numFmt numFmtId="167" formatCode="#,##0;\(#,##0\);\-"/>
    <numFmt numFmtId="168" formatCode="\$#,##0.00;&quot;($&quot;#,##0.00\);\-"/>
    <numFmt numFmtId="169" formatCode="#,##0.0;\(#,##0.0\);\-"/>
    <numFmt numFmtId="170" formatCode="0.000"/>
    <numFmt numFmtId="171" formatCode="#,##0.00"/>
    <numFmt numFmtId="172" formatCode="dd\-mmm\-yyyy"/>
    <numFmt numFmtId="173" formatCode="0.0000"/>
    <numFmt numFmtId="174" formatCode="0.0\x;\(0.0&quot;x)&quot;;\-"/>
    <numFmt numFmtId="175" formatCode="\$#,##0;&quot;($&quot;#,##0\);\-"/>
    <numFmt numFmtId="176" formatCode="0.00"/>
    <numFmt numFmtId="177" formatCode="#,##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6" t="s">
        <v>4</v>
      </c>
      <c r="B6" s="7" t="str">
        <f aca="false">Assumptions!D5</f>
        <v>Base</v>
      </c>
    </row>
    <row r="7" customFormat="false" ht="15" hidden="false" customHeight="false" outlineLevel="0" collapsed="false">
      <c r="A7" s="6" t="s">
        <v>5</v>
      </c>
      <c r="B7" s="8" t="n">
        <f aca="false">DCF!B8</f>
        <v>0.0838248058531887</v>
      </c>
    </row>
    <row r="8" customFormat="false" ht="15" hidden="false" customHeight="false" outlineLevel="0" collapsed="false">
      <c r="A8" s="6" t="s">
        <v>6</v>
      </c>
      <c r="B8" s="9" t="n">
        <f aca="false">DCF!B9</f>
        <v>0.03</v>
      </c>
    </row>
    <row r="9" customFormat="false" ht="15" hidden="false" customHeight="false" outlineLevel="0" collapsed="false">
      <c r="A9" s="6" t="s">
        <v>7</v>
      </c>
      <c r="B9" s="10" t="n">
        <f aca="false">DCF!B40</f>
        <v>145270.525057462</v>
      </c>
    </row>
    <row r="10" customFormat="false" ht="15" hidden="false" customHeight="false" outlineLevel="0" collapsed="false">
      <c r="A10" s="6" t="s">
        <v>8</v>
      </c>
      <c r="B10" s="11" t="n">
        <f aca="false">DCF!B48</f>
        <v>336.683667848478</v>
      </c>
    </row>
    <row r="11" customFormat="false" ht="15" hidden="false" customHeight="false" outlineLevel="0" collapsed="false">
      <c r="A11" s="6" t="s">
        <v>9</v>
      </c>
      <c r="B11" s="11" t="n">
        <f aca="false">DCF!B49</f>
        <v>979.88</v>
      </c>
    </row>
    <row r="12" customFormat="false" ht="15" hidden="false" customHeight="false" outlineLevel="0" collapsed="false">
      <c r="A12" s="6" t="s">
        <v>10</v>
      </c>
      <c r="B12" s="9" t="n">
        <f aca="false">DCF!B50</f>
        <v>-0.656403163807326</v>
      </c>
    </row>
    <row r="13" customFormat="false" ht="15" hidden="false" customHeight="false" outlineLevel="0" collapsed="false">
      <c r="A13" s="6" t="s">
        <v>11</v>
      </c>
      <c r="B13" s="7" t="str">
        <f aca="false">Checks!E22</f>
        <v>ALL OK</v>
      </c>
    </row>
    <row r="15" customFormat="false" ht="15" hidden="false" customHeight="false" outlineLevel="0" collapsed="false">
      <c r="A15" s="4" t="s">
        <v>12</v>
      </c>
      <c r="B15" s="5"/>
    </row>
    <row r="16" customFormat="false" ht="15" hidden="false" customHeight="false" outlineLevel="0" collapsed="false">
      <c r="A16" s="12" t="s">
        <v>13</v>
      </c>
      <c r="B16" s="6" t="s">
        <v>14</v>
      </c>
    </row>
    <row r="17" customFormat="false" ht="15" hidden="false" customHeight="false" outlineLevel="0" collapsed="false">
      <c r="A17" s="12" t="s">
        <v>15</v>
      </c>
      <c r="B17" s="6" t="s">
        <v>16</v>
      </c>
    </row>
    <row r="18" customFormat="false" ht="15" hidden="false" customHeight="false" outlineLevel="0" collapsed="false">
      <c r="A18" s="12" t="s">
        <v>17</v>
      </c>
      <c r="B18" s="6" t="s">
        <v>18</v>
      </c>
    </row>
    <row r="19" customFormat="false" ht="15" hidden="false" customHeight="false" outlineLevel="0" collapsed="false">
      <c r="A19" s="12" t="s">
        <v>19</v>
      </c>
      <c r="B19" s="6" t="s">
        <v>20</v>
      </c>
    </row>
    <row r="20" customFormat="false" ht="15" hidden="false" customHeight="false" outlineLevel="0" collapsed="false">
      <c r="A20" s="12" t="s">
        <v>5</v>
      </c>
      <c r="B20" s="6" t="s">
        <v>21</v>
      </c>
    </row>
    <row r="21" customFormat="false" ht="15" hidden="false" customHeight="false" outlineLevel="0" collapsed="false">
      <c r="A21" s="12" t="s">
        <v>22</v>
      </c>
      <c r="B21" s="6" t="s">
        <v>23</v>
      </c>
    </row>
    <row r="22" customFormat="false" ht="15" hidden="false" customHeight="false" outlineLevel="0" collapsed="false">
      <c r="A22" s="12" t="s">
        <v>24</v>
      </c>
      <c r="B22" s="6" t="s">
        <v>25</v>
      </c>
    </row>
    <row r="23" customFormat="false" ht="15" hidden="false" customHeight="false" outlineLevel="0" collapsed="false">
      <c r="A23" s="12" t="s">
        <v>26</v>
      </c>
      <c r="B23" s="6" t="s">
        <v>27</v>
      </c>
    </row>
    <row r="24" customFormat="false" ht="15" hidden="false" customHeight="false" outlineLevel="0" collapsed="false">
      <c r="A24" s="12" t="s">
        <v>28</v>
      </c>
      <c r="B24" s="6" t="s">
        <v>29</v>
      </c>
    </row>
    <row r="25" customFormat="false" ht="15" hidden="false" customHeight="false" outlineLevel="0" collapsed="false">
      <c r="A25" s="12" t="s">
        <v>30</v>
      </c>
      <c r="B25" s="6" t="s">
        <v>31</v>
      </c>
    </row>
    <row r="27" customFormat="false" ht="15" hidden="false" customHeight="false" outlineLevel="0" collapsed="false">
      <c r="A27" s="4" t="s">
        <v>32</v>
      </c>
      <c r="B27" s="5"/>
    </row>
    <row r="28" customFormat="false" ht="15" hidden="false" customHeight="false" outlineLevel="0" collapsed="false">
      <c r="A28" s="13" t="s">
        <v>33</v>
      </c>
      <c r="B28" s="6" t="s">
        <v>34</v>
      </c>
    </row>
    <row r="29" customFormat="false" ht="15" hidden="false" customHeight="false" outlineLevel="0" collapsed="false">
      <c r="A29" s="6" t="s">
        <v>33</v>
      </c>
      <c r="B29" s="6" t="s">
        <v>35</v>
      </c>
    </row>
    <row r="30" customFormat="false" ht="15" hidden="false" customHeight="false" outlineLevel="0" collapsed="false">
      <c r="A30" s="14" t="s">
        <v>33</v>
      </c>
      <c r="B30" s="6" t="s">
        <v>36</v>
      </c>
    </row>
    <row r="31" customFormat="false" ht="15" hidden="false" customHeight="false" outlineLevel="0" collapsed="false">
      <c r="A31" s="15" t="s">
        <v>33</v>
      </c>
      <c r="B31" s="6" t="s">
        <v>37</v>
      </c>
    </row>
    <row r="33" customFormat="false" ht="15" hidden="false" customHeight="false" outlineLevel="0" collapsed="false">
      <c r="A33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40</v>
      </c>
    </row>
    <row r="5" customFormat="false" ht="15" hidden="false" customHeight="false" outlineLevel="0" collapsed="false">
      <c r="A5" s="16" t="s">
        <v>41</v>
      </c>
      <c r="B5" s="17" t="s">
        <v>42</v>
      </c>
      <c r="C5" s="17" t="s">
        <v>43</v>
      </c>
      <c r="D5" s="17" t="s">
        <v>44</v>
      </c>
      <c r="E5" s="17" t="s">
        <v>45</v>
      </c>
      <c r="F5" s="17" t="s">
        <v>46</v>
      </c>
      <c r="G5" s="17" t="s">
        <v>47</v>
      </c>
    </row>
    <row r="6" customFormat="false" ht="15" hidden="false" customHeight="false" outlineLevel="0" collapsed="false">
      <c r="A6" s="4" t="s">
        <v>48</v>
      </c>
      <c r="B6" s="5"/>
      <c r="C6" s="5"/>
      <c r="D6" s="5"/>
      <c r="E6" s="5"/>
      <c r="F6" s="5"/>
      <c r="G6" s="5"/>
    </row>
    <row r="7" customFormat="false" ht="15" hidden="false" customHeight="false" outlineLevel="0" collapsed="false">
      <c r="A7" s="6" t="s">
        <v>49</v>
      </c>
      <c r="C7" s="18" t="n">
        <v>163220</v>
      </c>
      <c r="D7" s="18" t="n">
        <v>192052</v>
      </c>
      <c r="E7" s="18" t="n">
        <v>222730</v>
      </c>
      <c r="F7" s="18" t="n">
        <v>237710</v>
      </c>
      <c r="G7" s="18" t="n">
        <v>249625</v>
      </c>
    </row>
    <row r="8" customFormat="false" ht="15" hidden="false" customHeight="false" outlineLevel="0" collapsed="false">
      <c r="A8" s="6" t="s">
        <v>50</v>
      </c>
      <c r="C8" s="18" t="n">
        <v>3541</v>
      </c>
      <c r="D8" s="18" t="n">
        <v>3877</v>
      </c>
      <c r="E8" s="18" t="n">
        <v>4224</v>
      </c>
      <c r="F8" s="18" t="n">
        <v>4580</v>
      </c>
      <c r="G8" s="18" t="n">
        <v>4828</v>
      </c>
    </row>
    <row r="9" customFormat="false" ht="15" hidden="false" customHeight="false" outlineLevel="0" collapsed="false">
      <c r="A9" s="6" t="s">
        <v>51</v>
      </c>
      <c r="C9" s="18" t="n">
        <v>166761</v>
      </c>
      <c r="D9" s="18" t="n">
        <v>195929</v>
      </c>
      <c r="E9" s="18" t="n">
        <v>226954</v>
      </c>
      <c r="F9" s="18" t="n">
        <v>242290</v>
      </c>
      <c r="G9" s="18" t="n">
        <v>254453</v>
      </c>
    </row>
    <row r="10" customFormat="false" ht="15" hidden="false" customHeight="false" outlineLevel="0" collapsed="false">
      <c r="A10" s="6" t="s">
        <v>52</v>
      </c>
      <c r="C10" s="18" t="n">
        <v>144939</v>
      </c>
      <c r="D10" s="18" t="n">
        <v>170684</v>
      </c>
      <c r="E10" s="18" t="n">
        <v>199382</v>
      </c>
      <c r="F10" s="18" t="n">
        <v>212586</v>
      </c>
      <c r="G10" s="18" t="n">
        <v>222358</v>
      </c>
    </row>
    <row r="11" customFormat="false" ht="15" hidden="false" customHeight="false" outlineLevel="0" collapsed="false">
      <c r="A11" s="6" t="s">
        <v>53</v>
      </c>
      <c r="C11" s="18" t="n">
        <v>16387</v>
      </c>
      <c r="D11" s="18" t="n">
        <v>18537</v>
      </c>
      <c r="E11" s="18" t="n">
        <v>19779</v>
      </c>
      <c r="F11" s="18" t="n">
        <v>21590</v>
      </c>
      <c r="G11" s="18" t="n">
        <v>22810</v>
      </c>
    </row>
    <row r="12" customFormat="false" ht="15" hidden="false" customHeight="false" outlineLevel="0" collapsed="false">
      <c r="A12" s="6" t="s">
        <v>54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</row>
    <row r="13" customFormat="false" ht="15" hidden="false" customHeight="false" outlineLevel="0" collapsed="false">
      <c r="A13" s="6" t="s">
        <v>55</v>
      </c>
      <c r="C13" s="18" t="n">
        <v>5435</v>
      </c>
      <c r="D13" s="18" t="n">
        <v>6708</v>
      </c>
      <c r="E13" s="18" t="n">
        <v>7793</v>
      </c>
      <c r="F13" s="18" t="n">
        <v>8114</v>
      </c>
      <c r="G13" s="18" t="n">
        <v>9285</v>
      </c>
    </row>
    <row r="14" customFormat="false" ht="15" hidden="false" customHeight="false" outlineLevel="0" collapsed="false">
      <c r="A14" s="6" t="s">
        <v>56</v>
      </c>
      <c r="C14" s="18" t="n">
        <v>160</v>
      </c>
      <c r="D14" s="18" t="n">
        <v>171</v>
      </c>
      <c r="E14" s="18" t="n">
        <v>158</v>
      </c>
      <c r="F14" s="18" t="n">
        <v>160</v>
      </c>
      <c r="G14" s="18" t="n">
        <v>169</v>
      </c>
    </row>
    <row r="15" customFormat="false" ht="15" hidden="false" customHeight="false" outlineLevel="0" collapsed="false">
      <c r="A15" s="6" t="s">
        <v>57</v>
      </c>
      <c r="C15" s="18" t="n">
        <v>92</v>
      </c>
      <c r="D15" s="18" t="n">
        <v>143</v>
      </c>
      <c r="E15" s="18" t="n">
        <v>205</v>
      </c>
      <c r="F15" s="18" t="n">
        <v>533</v>
      </c>
      <c r="G15" s="18" t="n">
        <v>624</v>
      </c>
    </row>
    <row r="16" customFormat="false" ht="15" hidden="false" customHeight="false" outlineLevel="0" collapsed="false">
      <c r="A16" s="6" t="s">
        <v>58</v>
      </c>
      <c r="C16" s="18" t="n">
        <v>5367</v>
      </c>
      <c r="D16" s="18" t="n">
        <v>6680</v>
      </c>
      <c r="E16" s="18" t="n">
        <v>7840</v>
      </c>
      <c r="F16" s="18" t="n">
        <v>8487</v>
      </c>
      <c r="G16" s="18" t="n">
        <v>9740</v>
      </c>
    </row>
    <row r="17" customFormat="false" ht="15" hidden="false" customHeight="false" outlineLevel="0" collapsed="false">
      <c r="A17" s="6" t="s">
        <v>59</v>
      </c>
      <c r="C17" s="18" t="n">
        <v>1308</v>
      </c>
      <c r="D17" s="18" t="n">
        <v>1601</v>
      </c>
      <c r="E17" s="18" t="n">
        <v>1925</v>
      </c>
      <c r="F17" s="18" t="n">
        <v>2195</v>
      </c>
      <c r="G17" s="18" t="n">
        <v>2373</v>
      </c>
    </row>
    <row r="18" customFormat="false" ht="15" hidden="false" customHeight="false" outlineLevel="0" collapsed="false">
      <c r="A18" s="6" t="s">
        <v>60</v>
      </c>
      <c r="C18" s="18" t="n">
        <v>4059</v>
      </c>
      <c r="D18" s="18" t="n">
        <v>5079</v>
      </c>
      <c r="E18" s="18" t="n">
        <v>5915</v>
      </c>
      <c r="F18" s="18" t="n">
        <v>6292</v>
      </c>
      <c r="G18" s="18" t="n">
        <v>7367</v>
      </c>
    </row>
    <row r="19" customFormat="false" ht="15" hidden="false" customHeight="false" outlineLevel="0" collapsed="false">
      <c r="A19" s="6" t="s">
        <v>61</v>
      </c>
      <c r="C19" s="18" t="n">
        <v>57</v>
      </c>
      <c r="D19" s="18" t="n">
        <v>72</v>
      </c>
      <c r="E19" s="18" t="n">
        <v>71</v>
      </c>
      <c r="F19" s="18" t="n">
        <v>0</v>
      </c>
      <c r="G19" s="18" t="n">
        <v>0</v>
      </c>
    </row>
    <row r="20" customFormat="false" ht="15" hidden="false" customHeight="false" outlineLevel="0" collapsed="false">
      <c r="A20" s="6" t="s">
        <v>62</v>
      </c>
      <c r="C20" s="18" t="n">
        <v>4002</v>
      </c>
      <c r="D20" s="18" t="n">
        <v>5007</v>
      </c>
      <c r="E20" s="18" t="n">
        <v>5844</v>
      </c>
      <c r="F20" s="18" t="n">
        <v>6292</v>
      </c>
      <c r="G20" s="18" t="n">
        <v>7367</v>
      </c>
    </row>
    <row r="21" customFormat="false" ht="15" hidden="false" customHeight="false" outlineLevel="0" collapsed="false">
      <c r="A21" s="6" t="s">
        <v>63</v>
      </c>
      <c r="C21" s="19" t="n">
        <v>9.05</v>
      </c>
      <c r="D21" s="19" t="n">
        <v>11.3</v>
      </c>
      <c r="E21" s="19" t="n">
        <v>13.17</v>
      </c>
      <c r="F21" s="19" t="n">
        <v>14.18</v>
      </c>
      <c r="G21" s="19" t="n">
        <v>16.59</v>
      </c>
    </row>
    <row r="22" customFormat="false" ht="15" hidden="false" customHeight="false" outlineLevel="0" collapsed="false">
      <c r="A22" s="6" t="s">
        <v>64</v>
      </c>
      <c r="C22" s="19" t="n">
        <v>9.02</v>
      </c>
      <c r="D22" s="19" t="n">
        <v>11.27</v>
      </c>
      <c r="E22" s="19" t="n">
        <v>13.14</v>
      </c>
      <c r="F22" s="19" t="n">
        <v>14.16</v>
      </c>
      <c r="G22" s="19" t="n">
        <v>16.56</v>
      </c>
    </row>
    <row r="23" customFormat="false" ht="15" hidden="false" customHeight="false" outlineLevel="0" collapsed="false">
      <c r="A23" s="6" t="s">
        <v>65</v>
      </c>
      <c r="C23" s="20" t="n">
        <v>442.297</v>
      </c>
      <c r="D23" s="20" t="n">
        <v>443.089</v>
      </c>
      <c r="E23" s="20" t="n">
        <v>443.651</v>
      </c>
      <c r="F23" s="20" t="n">
        <v>443.854</v>
      </c>
      <c r="G23" s="20" t="n">
        <v>443.914</v>
      </c>
    </row>
    <row r="24" customFormat="false" ht="15" hidden="false" customHeight="false" outlineLevel="0" collapsed="false">
      <c r="A24" s="6" t="s">
        <v>66</v>
      </c>
      <c r="C24" s="20" t="n">
        <v>443.901</v>
      </c>
      <c r="D24" s="20" t="n">
        <v>444.346</v>
      </c>
      <c r="E24" s="20" t="n">
        <v>444.757</v>
      </c>
      <c r="F24" s="20" t="n">
        <v>444.452</v>
      </c>
      <c r="G24" s="20" t="n">
        <v>444.759</v>
      </c>
    </row>
    <row r="26" customFormat="false" ht="15" hidden="false" customHeight="false" outlineLevel="0" collapsed="false">
      <c r="A26" s="4" t="s">
        <v>67</v>
      </c>
      <c r="B26" s="5"/>
      <c r="C26" s="5"/>
      <c r="D26" s="5"/>
      <c r="E26" s="5"/>
      <c r="F26" s="5"/>
      <c r="G26" s="5"/>
    </row>
    <row r="27" customFormat="false" ht="15" hidden="false" customHeight="false" outlineLevel="0" collapsed="false">
      <c r="A27" s="6" t="s">
        <v>68</v>
      </c>
      <c r="B27" s="18" t="n">
        <v>8384</v>
      </c>
      <c r="C27" s="18" t="n">
        <v>12277</v>
      </c>
      <c r="D27" s="18" t="n">
        <v>11258</v>
      </c>
      <c r="E27" s="18" t="n">
        <v>10203</v>
      </c>
      <c r="F27" s="18" t="n">
        <v>13700</v>
      </c>
      <c r="G27" s="18" t="n">
        <v>9906</v>
      </c>
    </row>
    <row r="28" customFormat="false" ht="15" hidden="false" customHeight="false" outlineLevel="0" collapsed="false">
      <c r="A28" s="6" t="s">
        <v>69</v>
      </c>
      <c r="B28" s="18" t="n">
        <v>1060</v>
      </c>
      <c r="C28" s="18" t="n">
        <v>1028</v>
      </c>
      <c r="D28" s="18" t="n">
        <v>917</v>
      </c>
      <c r="E28" s="18" t="n">
        <v>846</v>
      </c>
      <c r="F28" s="18" t="n">
        <v>1534</v>
      </c>
      <c r="G28" s="18" t="n">
        <v>1238</v>
      </c>
    </row>
    <row r="29" customFormat="false" ht="15" hidden="false" customHeight="false" outlineLevel="0" collapsed="false">
      <c r="A29" s="6" t="s">
        <v>70</v>
      </c>
      <c r="B29" s="18" t="n">
        <v>1535</v>
      </c>
      <c r="C29" s="18" t="n">
        <v>1550</v>
      </c>
      <c r="D29" s="18" t="n">
        <v>1803</v>
      </c>
      <c r="E29" s="18" t="n">
        <v>2241</v>
      </c>
      <c r="F29" s="18" t="n">
        <v>2285</v>
      </c>
      <c r="G29" s="18" t="n">
        <v>2721</v>
      </c>
    </row>
    <row r="30" customFormat="false" ht="15" hidden="false" customHeight="false" outlineLevel="0" collapsed="false">
      <c r="A30" s="6" t="s">
        <v>71</v>
      </c>
      <c r="B30" s="18" t="n">
        <v>11395</v>
      </c>
      <c r="C30" s="18" t="n">
        <v>12242</v>
      </c>
      <c r="D30" s="18" t="n">
        <v>14215</v>
      </c>
      <c r="E30" s="18" t="n">
        <v>17907</v>
      </c>
      <c r="F30" s="18" t="n">
        <v>16651</v>
      </c>
      <c r="G30" s="18" t="n">
        <v>18647</v>
      </c>
    </row>
    <row r="31" customFormat="false" ht="15" hidden="false" customHeight="false" outlineLevel="0" collapsed="false">
      <c r="A31" s="6" t="s">
        <v>72</v>
      </c>
      <c r="B31" s="18" t="n">
        <v>1111</v>
      </c>
      <c r="C31" s="18" t="n">
        <v>1023</v>
      </c>
      <c r="D31" s="18" t="n">
        <v>1312</v>
      </c>
      <c r="E31" s="18" t="n">
        <v>1499</v>
      </c>
      <c r="F31" s="18" t="n">
        <v>1709</v>
      </c>
      <c r="G31" s="18" t="n">
        <v>1734</v>
      </c>
    </row>
    <row r="32" customFormat="false" ht="15" hidden="false" customHeight="false" outlineLevel="0" collapsed="false">
      <c r="A32" s="6" t="s">
        <v>73</v>
      </c>
      <c r="B32" s="18" t="n">
        <v>23485</v>
      </c>
      <c r="C32" s="18" t="n">
        <v>28120</v>
      </c>
      <c r="D32" s="18" t="n">
        <v>29505</v>
      </c>
      <c r="E32" s="18" t="n">
        <v>32696</v>
      </c>
      <c r="F32" s="18" t="n">
        <v>35879</v>
      </c>
      <c r="G32" s="18" t="n">
        <v>34246</v>
      </c>
    </row>
    <row r="33" customFormat="false" ht="15" hidden="false" customHeight="false" outlineLevel="0" collapsed="false">
      <c r="A33" s="6" t="s">
        <v>74</v>
      </c>
      <c r="B33" s="18" t="n">
        <v>20890</v>
      </c>
      <c r="C33" s="18" t="n">
        <v>21807</v>
      </c>
      <c r="D33" s="18" t="n">
        <v>23492</v>
      </c>
      <c r="E33" s="18" t="n">
        <v>24646</v>
      </c>
      <c r="F33" s="18" t="n">
        <v>26684</v>
      </c>
      <c r="G33" s="18" t="n">
        <v>29032</v>
      </c>
    </row>
    <row r="34" customFormat="false" ht="15" hidden="false" customHeight="false" outlineLevel="0" collapsed="false">
      <c r="A34" s="6" t="s">
        <v>75</v>
      </c>
      <c r="B34" s="18" t="n">
        <v>0</v>
      </c>
      <c r="C34" s="18" t="n">
        <v>2788</v>
      </c>
      <c r="D34" s="18" t="n">
        <v>2890</v>
      </c>
      <c r="E34" s="18" t="n">
        <v>2774</v>
      </c>
      <c r="F34" s="18" t="n">
        <v>2713</v>
      </c>
      <c r="G34" s="18" t="n">
        <v>2617</v>
      </c>
    </row>
    <row r="35" customFormat="false" ht="15" hidden="false" customHeight="false" outlineLevel="0" collapsed="false">
      <c r="A35" s="6" t="s">
        <v>76</v>
      </c>
      <c r="B35" s="18" t="n">
        <v>1025</v>
      </c>
      <c r="C35" s="18" t="n">
        <v>2841</v>
      </c>
      <c r="D35" s="18" t="n">
        <v>3381</v>
      </c>
      <c r="E35" s="18" t="n">
        <v>4050</v>
      </c>
      <c r="F35" s="18" t="n">
        <v>3718</v>
      </c>
      <c r="G35" s="18" t="n">
        <v>3936</v>
      </c>
    </row>
    <row r="36" customFormat="false" ht="15" hidden="false" customHeight="false" outlineLevel="0" collapsed="false">
      <c r="A36" s="6" t="s">
        <v>77</v>
      </c>
      <c r="B36" s="18" t="n">
        <v>45400</v>
      </c>
      <c r="C36" s="18" t="n">
        <v>55556</v>
      </c>
      <c r="D36" s="18" t="n">
        <v>59268</v>
      </c>
      <c r="E36" s="18" t="n">
        <v>64166</v>
      </c>
      <c r="F36" s="18" t="n">
        <v>68994</v>
      </c>
      <c r="G36" s="18" t="n">
        <v>69831</v>
      </c>
    </row>
    <row r="37" customFormat="false" ht="15" hidden="false" customHeight="false" outlineLevel="0" collapsed="false">
      <c r="A37" s="6" t="s">
        <v>78</v>
      </c>
      <c r="B37" s="18" t="n">
        <v>11679</v>
      </c>
      <c r="C37" s="18" t="n">
        <v>14172</v>
      </c>
      <c r="D37" s="18" t="n">
        <v>16278</v>
      </c>
      <c r="E37" s="18" t="n">
        <v>17848</v>
      </c>
      <c r="F37" s="18" t="n">
        <v>17483</v>
      </c>
      <c r="G37" s="18" t="n">
        <v>19421</v>
      </c>
    </row>
    <row r="38" customFormat="false" ht="15" hidden="false" customHeight="false" outlineLevel="0" collapsed="false">
      <c r="A38" s="6" t="s">
        <v>79</v>
      </c>
      <c r="B38" s="18" t="n">
        <v>3176</v>
      </c>
      <c r="C38" s="18" t="n">
        <v>3605</v>
      </c>
      <c r="D38" s="18" t="n">
        <v>4090</v>
      </c>
      <c r="E38" s="18" t="n">
        <v>4381</v>
      </c>
      <c r="F38" s="18" t="n">
        <v>4278</v>
      </c>
      <c r="G38" s="18" t="n">
        <v>4794</v>
      </c>
    </row>
    <row r="39" customFormat="false" ht="15" hidden="false" customHeight="false" outlineLevel="0" collapsed="false">
      <c r="A39" s="6" t="s">
        <v>80</v>
      </c>
      <c r="B39" s="18" t="n">
        <v>1180</v>
      </c>
      <c r="C39" s="18" t="n">
        <v>1393</v>
      </c>
      <c r="D39" s="18" t="n">
        <v>1671</v>
      </c>
      <c r="E39" s="18" t="n">
        <v>1911</v>
      </c>
      <c r="F39" s="18" t="n">
        <v>2150</v>
      </c>
      <c r="G39" s="18" t="n">
        <v>2435</v>
      </c>
    </row>
    <row r="40" customFormat="false" ht="15" hidden="false" customHeight="false" outlineLevel="0" collapsed="false">
      <c r="A40" s="6" t="s">
        <v>81</v>
      </c>
      <c r="B40" s="18" t="n">
        <v>1711</v>
      </c>
      <c r="C40" s="18" t="n">
        <v>1851</v>
      </c>
      <c r="D40" s="18" t="n">
        <v>2042</v>
      </c>
      <c r="E40" s="18" t="n">
        <v>2174</v>
      </c>
      <c r="F40" s="18" t="n">
        <v>2337</v>
      </c>
      <c r="G40" s="18" t="n">
        <v>2501</v>
      </c>
    </row>
    <row r="41" customFormat="false" ht="15" hidden="false" customHeight="false" outlineLevel="0" collapsed="false">
      <c r="A41" s="6" t="s">
        <v>82</v>
      </c>
      <c r="B41" s="18" t="n">
        <v>1699</v>
      </c>
      <c r="C41" s="18" t="n">
        <v>95</v>
      </c>
      <c r="D41" s="18" t="n">
        <v>799</v>
      </c>
      <c r="E41" s="18" t="n">
        <v>73</v>
      </c>
      <c r="F41" s="18" t="n">
        <v>1081</v>
      </c>
      <c r="G41" s="18" t="n">
        <v>103</v>
      </c>
    </row>
    <row r="42" customFormat="false" ht="15" hidden="false" customHeight="false" outlineLevel="0" collapsed="false">
      <c r="A42" s="6" t="s">
        <v>83</v>
      </c>
      <c r="B42" s="18" t="n">
        <v>3792</v>
      </c>
      <c r="C42" s="18" t="n">
        <v>3728</v>
      </c>
      <c r="D42" s="18" t="n">
        <v>4561</v>
      </c>
      <c r="E42" s="18" t="n">
        <v>5611</v>
      </c>
      <c r="F42" s="18" t="n">
        <v>6254</v>
      </c>
      <c r="G42" s="18" t="n">
        <v>6210</v>
      </c>
    </row>
    <row r="43" customFormat="false" ht="15" hidden="false" customHeight="false" outlineLevel="0" collapsed="false">
      <c r="A43" s="6" t="s">
        <v>84</v>
      </c>
      <c r="B43" s="18" t="n">
        <v>23237</v>
      </c>
      <c r="C43" s="18" t="n">
        <v>24844</v>
      </c>
      <c r="D43" s="18" t="n">
        <v>29441</v>
      </c>
      <c r="E43" s="18" t="n">
        <v>31998</v>
      </c>
      <c r="F43" s="18" t="n">
        <v>33583</v>
      </c>
      <c r="G43" s="18" t="n">
        <v>35464</v>
      </c>
    </row>
    <row r="44" customFormat="false" ht="15" hidden="false" customHeight="false" outlineLevel="0" collapsed="false">
      <c r="A44" s="6" t="s">
        <v>85</v>
      </c>
      <c r="B44" s="18" t="n">
        <v>5124</v>
      </c>
      <c r="C44" s="18" t="n">
        <v>7514</v>
      </c>
      <c r="D44" s="18" t="n">
        <v>6692</v>
      </c>
      <c r="E44" s="18" t="n">
        <v>6484</v>
      </c>
      <c r="F44" s="18" t="n">
        <v>5377</v>
      </c>
      <c r="G44" s="18" t="n">
        <v>5794</v>
      </c>
    </row>
    <row r="45" customFormat="false" ht="15" hidden="false" customHeight="false" outlineLevel="0" collapsed="false">
      <c r="A45" s="6" t="s">
        <v>86</v>
      </c>
      <c r="B45" s="18" t="n">
        <v>0</v>
      </c>
      <c r="C45" s="18" t="n">
        <v>2558</v>
      </c>
      <c r="D45" s="18" t="n">
        <v>2642</v>
      </c>
      <c r="E45" s="18" t="n">
        <v>2482</v>
      </c>
      <c r="F45" s="18" t="n">
        <v>2426</v>
      </c>
      <c r="G45" s="18" t="n">
        <v>2375</v>
      </c>
    </row>
    <row r="46" customFormat="false" ht="15" hidden="false" customHeight="false" outlineLevel="0" collapsed="false">
      <c r="A46" s="6" t="s">
        <v>87</v>
      </c>
      <c r="B46" s="18" t="n">
        <v>1455</v>
      </c>
      <c r="C46" s="18" t="n">
        <v>1935</v>
      </c>
      <c r="D46" s="18" t="n">
        <v>2415</v>
      </c>
      <c r="E46" s="18" t="n">
        <v>2555</v>
      </c>
      <c r="F46" s="18" t="n">
        <v>2550</v>
      </c>
      <c r="G46" s="18" t="n">
        <v>2576</v>
      </c>
    </row>
    <row r="47" customFormat="false" ht="15" hidden="false" customHeight="false" outlineLevel="0" collapsed="false">
      <c r="A47" s="6" t="s">
        <v>88</v>
      </c>
      <c r="B47" s="18" t="n">
        <v>29816</v>
      </c>
      <c r="C47" s="18" t="n">
        <v>36851</v>
      </c>
      <c r="D47" s="18" t="n">
        <v>41190</v>
      </c>
      <c r="E47" s="18" t="n">
        <v>43519</v>
      </c>
      <c r="F47" s="18" t="n">
        <v>43936</v>
      </c>
      <c r="G47" s="18" t="n">
        <v>46209</v>
      </c>
    </row>
    <row r="48" customFormat="false" ht="15" hidden="false" customHeight="false" outlineLevel="0" collapsed="false">
      <c r="A48" s="6" t="s">
        <v>89</v>
      </c>
      <c r="B48" s="18" t="n">
        <v>15243</v>
      </c>
      <c r="C48" s="18" t="n">
        <v>18284</v>
      </c>
      <c r="D48" s="18" t="n">
        <v>17564</v>
      </c>
      <c r="E48" s="18" t="n">
        <v>20642</v>
      </c>
      <c r="F48" s="18" t="n">
        <v>25058</v>
      </c>
      <c r="G48" s="18" t="n">
        <v>23622</v>
      </c>
    </row>
    <row r="49" customFormat="false" ht="15" hidden="false" customHeight="false" outlineLevel="0" collapsed="false">
      <c r="A49" s="6" t="s">
        <v>90</v>
      </c>
      <c r="B49" s="18" t="n">
        <v>341</v>
      </c>
      <c r="C49" s="18" t="n">
        <v>421</v>
      </c>
      <c r="D49" s="18" t="n">
        <v>514</v>
      </c>
      <c r="E49" s="18" t="n">
        <v>5</v>
      </c>
      <c r="F49" s="18" t="n">
        <v>0</v>
      </c>
      <c r="G49" s="18" t="n">
        <v>0</v>
      </c>
    </row>
    <row r="50" customFormat="false" ht="15" hidden="false" customHeight="false" outlineLevel="0" collapsed="false">
      <c r="A50" s="6" t="s">
        <v>91</v>
      </c>
      <c r="B50" s="18" t="n">
        <v>15584</v>
      </c>
      <c r="C50" s="18" t="n">
        <v>18705</v>
      </c>
      <c r="D50" s="18" t="n">
        <v>18078</v>
      </c>
      <c r="E50" s="18" t="n">
        <v>20647</v>
      </c>
      <c r="F50" s="18" t="n">
        <v>25058</v>
      </c>
      <c r="G50" s="18" t="n">
        <v>23622</v>
      </c>
    </row>
    <row r="51" customFormat="false" ht="15" hidden="false" customHeight="false" outlineLevel="0" collapsed="false">
      <c r="A51" s="6" t="s">
        <v>92</v>
      </c>
      <c r="B51" s="18" t="n">
        <v>45400</v>
      </c>
      <c r="C51" s="18" t="n">
        <v>55556</v>
      </c>
      <c r="D51" s="18" t="n">
        <v>59268</v>
      </c>
      <c r="E51" s="18" t="n">
        <v>64166</v>
      </c>
      <c r="F51" s="18" t="n">
        <v>68994</v>
      </c>
      <c r="G51" s="18" t="n">
        <v>69831</v>
      </c>
    </row>
    <row r="52" customFormat="false" ht="15" hidden="false" customHeight="false" outlineLevel="0" collapsed="false">
      <c r="A52" s="6" t="s">
        <v>93</v>
      </c>
      <c r="B52" s="20" t="n">
        <v>439.625</v>
      </c>
      <c r="C52" s="20" t="n">
        <v>441.255</v>
      </c>
      <c r="D52" s="20" t="n">
        <v>441.825</v>
      </c>
      <c r="E52" s="20" t="n">
        <v>442.664</v>
      </c>
      <c r="F52" s="20" t="n">
        <v>442.793</v>
      </c>
      <c r="G52" s="20" t="n">
        <v>443.126</v>
      </c>
    </row>
    <row r="54" customFormat="false" ht="15" hidden="false" customHeight="false" outlineLevel="0" collapsed="false">
      <c r="A54" s="4" t="s">
        <v>94</v>
      </c>
      <c r="B54" s="5"/>
      <c r="C54" s="5"/>
      <c r="D54" s="5"/>
      <c r="E54" s="5"/>
      <c r="F54" s="5"/>
      <c r="G54" s="5"/>
    </row>
    <row r="55" customFormat="false" ht="15" hidden="false" customHeight="false" outlineLevel="0" collapsed="false">
      <c r="A55" s="6" t="s">
        <v>95</v>
      </c>
      <c r="C55" s="18" t="n">
        <v>8861</v>
      </c>
      <c r="D55" s="18" t="n">
        <v>8958</v>
      </c>
      <c r="E55" s="18" t="n">
        <v>7392</v>
      </c>
      <c r="F55" s="18" t="n">
        <v>11068</v>
      </c>
      <c r="G55" s="18" t="n">
        <v>11339</v>
      </c>
    </row>
    <row r="56" customFormat="false" ht="15" hidden="false" customHeight="false" outlineLevel="0" collapsed="false">
      <c r="A56" s="6" t="s">
        <v>96</v>
      </c>
      <c r="C56" s="18" t="n">
        <v>1645</v>
      </c>
      <c r="D56" s="18" t="n">
        <v>1781</v>
      </c>
      <c r="E56" s="18" t="n">
        <v>1900</v>
      </c>
      <c r="F56" s="18" t="n">
        <v>2077</v>
      </c>
      <c r="G56" s="18" t="n">
        <v>2237</v>
      </c>
    </row>
    <row r="57" customFormat="false" ht="15" hidden="false" customHeight="false" outlineLevel="0" collapsed="false">
      <c r="A57" s="6" t="s">
        <v>97</v>
      </c>
      <c r="C57" s="18" t="n">
        <v>619</v>
      </c>
      <c r="D57" s="18" t="n">
        <v>665</v>
      </c>
      <c r="E57" s="18" t="n">
        <v>724</v>
      </c>
      <c r="F57" s="18" t="n">
        <v>774</v>
      </c>
      <c r="G57" s="18" t="n">
        <v>818</v>
      </c>
    </row>
    <row r="58" customFormat="false" ht="15" hidden="false" customHeight="false" outlineLevel="0" collapsed="false">
      <c r="A58" s="6" t="s">
        <v>98</v>
      </c>
      <c r="C58" s="18" t="n">
        <v>791</v>
      </c>
      <c r="D58" s="18" t="n">
        <v>1892</v>
      </c>
      <c r="E58" s="18" t="n">
        <v>4003</v>
      </c>
      <c r="F58" s="18" t="n">
        <v>-1228</v>
      </c>
      <c r="G58" s="18" t="n">
        <v>2068</v>
      </c>
    </row>
    <row r="59" customFormat="false" ht="15" hidden="false" customHeight="false" outlineLevel="0" collapsed="false">
      <c r="A59" s="6" t="s">
        <v>99</v>
      </c>
      <c r="C59" s="18" t="n">
        <v>2261</v>
      </c>
      <c r="D59" s="18" t="n">
        <v>1838</v>
      </c>
      <c r="E59" s="18" t="n">
        <v>1891</v>
      </c>
      <c r="F59" s="18" t="n">
        <v>-382</v>
      </c>
      <c r="G59" s="18" t="n">
        <v>1938</v>
      </c>
    </row>
    <row r="60" customFormat="false" ht="15" hidden="false" customHeight="false" outlineLevel="0" collapsed="false">
      <c r="A60" s="6" t="s">
        <v>100</v>
      </c>
      <c r="C60" s="18" t="n">
        <v>-728</v>
      </c>
      <c r="D60" s="18" t="n">
        <v>-1057</v>
      </c>
      <c r="E60" s="18" t="n">
        <v>-549</v>
      </c>
      <c r="F60" s="18" t="n">
        <v>-172</v>
      </c>
      <c r="G60" s="18" t="n">
        <v>-741</v>
      </c>
    </row>
    <row r="61" customFormat="false" ht="15" hidden="false" customHeight="false" outlineLevel="0" collapsed="false">
      <c r="A61" s="6" t="s">
        <v>101</v>
      </c>
      <c r="C61" s="18" t="n">
        <v>2810</v>
      </c>
      <c r="D61" s="18" t="n">
        <v>3588</v>
      </c>
      <c r="E61" s="18" t="n">
        <v>3891</v>
      </c>
      <c r="F61" s="18" t="n">
        <v>4323</v>
      </c>
      <c r="G61" s="18" t="n">
        <v>4710</v>
      </c>
    </row>
    <row r="62" customFormat="false" ht="15" hidden="false" customHeight="false" outlineLevel="0" collapsed="false">
      <c r="A62" s="6" t="s">
        <v>102</v>
      </c>
      <c r="C62" s="18" t="n">
        <v>-3891</v>
      </c>
      <c r="D62" s="18" t="n">
        <v>-3535</v>
      </c>
      <c r="E62" s="18" t="n">
        <v>-3915</v>
      </c>
      <c r="F62" s="18" t="n">
        <v>-4972</v>
      </c>
      <c r="G62" s="18" t="n">
        <v>-4409</v>
      </c>
    </row>
    <row r="63" customFormat="false" ht="15" hidden="false" customHeight="false" outlineLevel="0" collapsed="false">
      <c r="A63" s="6" t="s">
        <v>103</v>
      </c>
      <c r="C63" s="18" t="n">
        <v>1479</v>
      </c>
      <c r="D63" s="18" t="n">
        <v>5748</v>
      </c>
      <c r="E63" s="18" t="n">
        <v>1498</v>
      </c>
      <c r="F63" s="18" t="n">
        <v>1251</v>
      </c>
      <c r="G63" s="18" t="n">
        <v>9041</v>
      </c>
    </row>
    <row r="64" customFormat="false" ht="15" hidden="false" customHeight="false" outlineLevel="0" collapsed="false">
      <c r="A64" s="6" t="s">
        <v>104</v>
      </c>
      <c r="C64" s="18" t="n">
        <v>196</v>
      </c>
      <c r="D64" s="18" t="n">
        <v>496</v>
      </c>
      <c r="E64" s="18" t="n">
        <v>439</v>
      </c>
      <c r="F64" s="18" t="n">
        <v>676</v>
      </c>
      <c r="G64" s="18" t="n">
        <v>700</v>
      </c>
    </row>
    <row r="65" customFormat="false" ht="15" hidden="false" customHeight="false" outlineLevel="0" collapsed="false">
      <c r="A65" s="6" t="s">
        <v>105</v>
      </c>
      <c r="C65" s="18" t="n">
        <v>3992</v>
      </c>
      <c r="D65" s="18" t="n">
        <v>0</v>
      </c>
      <c r="E65" s="18" t="n">
        <v>0</v>
      </c>
      <c r="F65" s="18" t="n">
        <v>0</v>
      </c>
      <c r="G65" s="18" t="n">
        <v>498</v>
      </c>
    </row>
    <row r="66" customFormat="false" ht="15" hidden="false" customHeight="false" outlineLevel="0" collapsed="false">
      <c r="A66" s="6" t="s">
        <v>106</v>
      </c>
      <c r="C66" s="18" t="n">
        <v>3200</v>
      </c>
      <c r="D66" s="18" t="n">
        <v>94</v>
      </c>
      <c r="E66" s="18" t="n">
        <v>800</v>
      </c>
      <c r="F66" s="18" t="n">
        <v>75</v>
      </c>
      <c r="G66" s="18" t="n">
        <v>1077</v>
      </c>
    </row>
    <row r="67" customFormat="false" ht="15" hidden="false" customHeight="false" outlineLevel="0" collapsed="false">
      <c r="A67" s="6" t="s">
        <v>107</v>
      </c>
      <c r="C67" s="18" t="n">
        <v>-1147</v>
      </c>
      <c r="D67" s="18" t="n">
        <v>-6488</v>
      </c>
      <c r="E67" s="18" t="n">
        <v>-4283</v>
      </c>
      <c r="F67" s="18" t="n">
        <v>-2614</v>
      </c>
      <c r="G67" s="18" t="n">
        <v>-10764</v>
      </c>
    </row>
    <row r="68" customFormat="false" ht="15" hidden="false" customHeight="false" outlineLevel="0" collapsed="false">
      <c r="A68" s="6" t="s">
        <v>108</v>
      </c>
      <c r="C68" s="18" t="n">
        <v>70</v>
      </c>
      <c r="D68" s="18" t="n">
        <v>46</v>
      </c>
      <c r="E68" s="18" t="n">
        <v>-249</v>
      </c>
      <c r="F68" s="18" t="n">
        <v>15</v>
      </c>
      <c r="G68" s="18" t="n">
        <v>40</v>
      </c>
    </row>
    <row r="69" customFormat="false" ht="15" hidden="false" customHeight="false" outlineLevel="0" collapsed="false">
      <c r="A69" s="6" t="s">
        <v>109</v>
      </c>
      <c r="C69" s="18" t="n">
        <v>3893</v>
      </c>
      <c r="D69" s="18" t="n">
        <v>-1019</v>
      </c>
      <c r="E69" s="18" t="n">
        <v>-1055</v>
      </c>
      <c r="F69" s="18" t="n">
        <v>3497</v>
      </c>
      <c r="G69" s="18" t="n">
        <v>-3794</v>
      </c>
    </row>
    <row r="70" customFormat="false" ht="15" hidden="false" customHeight="false" outlineLevel="0" collapsed="false">
      <c r="A70" s="6" t="s">
        <v>110</v>
      </c>
      <c r="C70" s="18" t="n">
        <v>1052</v>
      </c>
      <c r="D70" s="18" t="n">
        <v>1527</v>
      </c>
      <c r="E70" s="18" t="n">
        <v>1940</v>
      </c>
      <c r="F70" s="18" t="n">
        <v>2234</v>
      </c>
      <c r="G70" s="18" t="n">
        <v>2319</v>
      </c>
    </row>
    <row r="71" customFormat="false" ht="15" hidden="false" customHeight="false" outlineLevel="0" collapsed="false">
      <c r="A71" s="6" t="s">
        <v>111</v>
      </c>
      <c r="C71" s="18" t="n">
        <v>124</v>
      </c>
      <c r="D71" s="18" t="n">
        <v>149</v>
      </c>
      <c r="E71" s="18" t="n">
        <v>145</v>
      </c>
      <c r="F71" s="18" t="n">
        <v>125</v>
      </c>
      <c r="G71" s="18" t="n">
        <v>129</v>
      </c>
    </row>
    <row r="73" customFormat="false" ht="15" hidden="false" customHeight="false" outlineLevel="0" collapsed="false">
      <c r="A73" s="4" t="s">
        <v>112</v>
      </c>
      <c r="B73" s="5"/>
      <c r="C73" s="5"/>
      <c r="D73" s="5"/>
      <c r="E73" s="5"/>
      <c r="F73" s="5"/>
      <c r="G73" s="5"/>
    </row>
    <row r="74" customFormat="false" ht="15" hidden="false" customHeight="false" outlineLevel="0" collapsed="false">
      <c r="A74" s="6" t="s">
        <v>113</v>
      </c>
      <c r="C74" s="18" t="n">
        <v>2789</v>
      </c>
      <c r="D74" s="18" t="n">
        <v>2864</v>
      </c>
      <c r="E74" s="18" t="n">
        <v>2721</v>
      </c>
      <c r="F74" s="18" t="n">
        <v>2646</v>
      </c>
      <c r="G74" s="18" t="n">
        <v>2554</v>
      </c>
    </row>
    <row r="75" customFormat="false" ht="15" hidden="false" customHeight="false" outlineLevel="0" collapsed="false">
      <c r="A75" s="6" t="s">
        <v>114</v>
      </c>
      <c r="C75" s="18" t="n">
        <v>3477</v>
      </c>
      <c r="D75" s="18" t="n">
        <v>3916</v>
      </c>
      <c r="E75" s="18" t="n">
        <v>4349</v>
      </c>
      <c r="F75" s="18" t="n">
        <v>4078</v>
      </c>
      <c r="G75" s="18" t="n">
        <v>4052</v>
      </c>
    </row>
    <row r="76" customFormat="false" ht="15" hidden="false" customHeight="false" outlineLevel="0" collapsed="false">
      <c r="A76" s="6" t="s">
        <v>115</v>
      </c>
      <c r="C76" s="18" t="n">
        <v>688</v>
      </c>
      <c r="D76" s="18" t="n">
        <v>1052</v>
      </c>
      <c r="E76" s="18" t="n">
        <v>1628</v>
      </c>
      <c r="F76" s="18" t="n">
        <v>1432</v>
      </c>
      <c r="G76" s="18" t="n">
        <v>1498</v>
      </c>
    </row>
    <row r="78" customFormat="false" ht="15" hidden="false" customHeight="false" outlineLevel="0" collapsed="false">
      <c r="A78" s="4" t="s">
        <v>116</v>
      </c>
    </row>
    <row r="79" customFormat="false" ht="15" hidden="false" customHeight="false" outlineLevel="0" collapsed="false">
      <c r="A79" s="6" t="s">
        <v>117</v>
      </c>
      <c r="C79" s="18" t="n">
        <v>795</v>
      </c>
      <c r="D79" s="18" t="n">
        <v>815</v>
      </c>
      <c r="E79" s="18" t="n">
        <v>838</v>
      </c>
      <c r="F79" s="18" t="n">
        <v>861</v>
      </c>
      <c r="G79" s="18" t="n">
        <v>890</v>
      </c>
    </row>
    <row r="80" customFormat="false" ht="15" hidden="false" customHeight="false" outlineLevel="0" collapsed="false">
      <c r="A80" s="6" t="s">
        <v>118</v>
      </c>
      <c r="C80" s="20" t="n">
        <v>58.1</v>
      </c>
      <c r="D80" s="20" t="n">
        <v>61.7</v>
      </c>
      <c r="E80" s="20" t="n">
        <v>65.8</v>
      </c>
      <c r="F80" s="20" t="n">
        <v>71</v>
      </c>
      <c r="G80" s="20" t="n">
        <v>76.2</v>
      </c>
    </row>
    <row r="81" customFormat="false" ht="15" hidden="false" customHeight="false" outlineLevel="0" collapsed="false">
      <c r="A81" s="6" t="s">
        <v>119</v>
      </c>
      <c r="C81" s="20" t="n">
        <v>22.6</v>
      </c>
      <c r="D81" s="20" t="n">
        <v>25.6</v>
      </c>
      <c r="E81" s="20" t="n">
        <v>29.1</v>
      </c>
      <c r="F81" s="20" t="n">
        <v>32.3</v>
      </c>
      <c r="G81" s="20" t="n">
        <v>35.4</v>
      </c>
    </row>
    <row r="82" customFormat="false" ht="15" hidden="false" customHeight="false" outlineLevel="0" collapsed="false">
      <c r="A82" s="6" t="s">
        <v>120</v>
      </c>
      <c r="C82" s="20" t="n">
        <v>8</v>
      </c>
      <c r="D82" s="20" t="n">
        <v>16</v>
      </c>
      <c r="E82" s="20" t="n">
        <v>14</v>
      </c>
      <c r="F82" s="20" t="n">
        <v>3</v>
      </c>
      <c r="G82" s="20" t="n">
        <v>5</v>
      </c>
    </row>
    <row r="83" customFormat="false" ht="15" hidden="false" customHeight="false" outlineLevel="0" collapsed="false">
      <c r="A83" s="6" t="s">
        <v>121</v>
      </c>
      <c r="C83" s="20" t="n">
        <v>91</v>
      </c>
      <c r="D83" s="20" t="n">
        <v>91</v>
      </c>
      <c r="E83" s="20" t="n">
        <v>93</v>
      </c>
      <c r="F83" s="20" t="n">
        <v>92.7</v>
      </c>
      <c r="G83" s="20" t="n">
        <v>92.9</v>
      </c>
    </row>
    <row r="85" customFormat="false" ht="15" hidden="false" customHeight="false" outlineLevel="0" collapsed="false">
      <c r="A85" s="4" t="s">
        <v>122</v>
      </c>
    </row>
    <row r="86" customFormat="false" ht="15" hidden="false" customHeight="false" outlineLevel="0" collapsed="false">
      <c r="A86" s="6" t="s">
        <v>123</v>
      </c>
      <c r="D86" s="21" t="n">
        <f aca="false">D9/C9-1</f>
        <v>0.174909001505148</v>
      </c>
      <c r="E86" s="21" t="n">
        <f aca="false">E9/D9-1</f>
        <v>0.158348177145803</v>
      </c>
      <c r="F86" s="21" t="n">
        <f aca="false">F9/E9-1</f>
        <v>0.0675731646060436</v>
      </c>
      <c r="G86" s="21" t="n">
        <f aca="false">G9/F9-1</f>
        <v>0.0502001733459903</v>
      </c>
    </row>
    <row r="87" customFormat="false" ht="15" hidden="false" customHeight="false" outlineLevel="0" collapsed="false">
      <c r="A87" s="6" t="s">
        <v>124</v>
      </c>
      <c r="C87" s="22" t="n">
        <f aca="false">1-C10/C7</f>
        <v>0.112002205612057</v>
      </c>
      <c r="D87" s="22" t="n">
        <f aca="false">1-D10/D7</f>
        <v>0.111261533334722</v>
      </c>
      <c r="E87" s="22" t="n">
        <f aca="false">1-E10/E7</f>
        <v>0.104826471512594</v>
      </c>
      <c r="F87" s="22" t="n">
        <f aca="false">1-F10/F7</f>
        <v>0.105691809347524</v>
      </c>
      <c r="G87" s="22" t="n">
        <f aca="false">1-G10/G7</f>
        <v>0.109231847771658</v>
      </c>
    </row>
    <row r="88" customFormat="false" ht="15" hidden="false" customHeight="false" outlineLevel="0" collapsed="false">
      <c r="A88" s="6" t="s">
        <v>125</v>
      </c>
      <c r="C88" s="22" t="n">
        <f aca="false">C11/C7</f>
        <v>0.100398235510354</v>
      </c>
      <c r="D88" s="22" t="n">
        <f aca="false">D11/D7</f>
        <v>0.0965207339678837</v>
      </c>
      <c r="E88" s="22" t="n">
        <f aca="false">E11/E7</f>
        <v>0.0888025860907826</v>
      </c>
      <c r="F88" s="22" t="n">
        <f aca="false">F11/F7</f>
        <v>0.0908249547768289</v>
      </c>
      <c r="G88" s="22" t="n">
        <f aca="false">G11/G7</f>
        <v>0.0913770655983976</v>
      </c>
    </row>
    <row r="89" customFormat="false" ht="15" hidden="false" customHeight="false" outlineLevel="0" collapsed="false">
      <c r="A89" s="6" t="s">
        <v>126</v>
      </c>
      <c r="C89" s="22" t="n">
        <f aca="false">C13/C9</f>
        <v>0.0325915531808996</v>
      </c>
      <c r="D89" s="22" t="n">
        <f aca="false">D13/D9</f>
        <v>0.0342368919353439</v>
      </c>
      <c r="E89" s="22" t="n">
        <f aca="false">E13/E9</f>
        <v>0.03433735470624</v>
      </c>
      <c r="F89" s="22" t="n">
        <f aca="false">F13/F9</f>
        <v>0.03348879441991</v>
      </c>
      <c r="G89" s="22" t="n">
        <f aca="false">G13/G9</f>
        <v>0.0364900394178886</v>
      </c>
    </row>
    <row r="90" customFormat="false" ht="15" hidden="false" customHeight="false" outlineLevel="0" collapsed="false">
      <c r="A90" s="6" t="s">
        <v>127</v>
      </c>
      <c r="C90" s="21" t="n">
        <f aca="false">C8/C13</f>
        <v>0.651517939282429</v>
      </c>
      <c r="D90" s="21" t="n">
        <f aca="false">D8/D13</f>
        <v>0.577966607036375</v>
      </c>
      <c r="E90" s="21" t="n">
        <f aca="false">E8/E13</f>
        <v>0.542024894135763</v>
      </c>
      <c r="F90" s="21" t="n">
        <f aca="false">F8/F13</f>
        <v>0.564456494947005</v>
      </c>
      <c r="G90" s="21" t="n">
        <f aca="false">G8/G13</f>
        <v>0.519978459881529</v>
      </c>
    </row>
    <row r="91" customFormat="false" ht="15" hidden="false" customHeight="false" outlineLevel="0" collapsed="false">
      <c r="A91" s="6" t="s">
        <v>128</v>
      </c>
      <c r="C91" s="21" t="n">
        <f aca="false">C17/C16</f>
        <v>0.243711570709894</v>
      </c>
      <c r="D91" s="21" t="n">
        <f aca="false">D17/D16</f>
        <v>0.239670658682635</v>
      </c>
      <c r="E91" s="21" t="n">
        <f aca="false">E17/E16</f>
        <v>0.245535714285714</v>
      </c>
      <c r="F91" s="21" t="n">
        <f aca="false">F17/F16</f>
        <v>0.258630847178037</v>
      </c>
      <c r="G91" s="21" t="n">
        <f aca="false">G17/G16</f>
        <v>0.243634496919918</v>
      </c>
    </row>
    <row r="92" customFormat="false" ht="15" hidden="false" customHeight="false" outlineLevel="0" collapsed="false">
      <c r="A92" s="6" t="s">
        <v>129</v>
      </c>
      <c r="C92" s="22" t="n">
        <f aca="false">C61/C9</f>
        <v>0.0168504626381468</v>
      </c>
      <c r="D92" s="22" t="n">
        <f aca="false">D61/D9</f>
        <v>0.018312756151463</v>
      </c>
      <c r="E92" s="22" t="n">
        <f aca="false">E61/E9</f>
        <v>0.0171444433673784</v>
      </c>
      <c r="F92" s="22" t="n">
        <f aca="false">F61/F9</f>
        <v>0.0178422551487886</v>
      </c>
      <c r="G92" s="22" t="n">
        <f aca="false">G61/G9</f>
        <v>0.0185102946320146</v>
      </c>
    </row>
    <row r="93" customFormat="false" ht="15" hidden="false" customHeight="false" outlineLevel="0" collapsed="false">
      <c r="A93" s="6" t="s">
        <v>130</v>
      </c>
      <c r="C93" s="23" t="n">
        <f aca="false">C55-C61</f>
        <v>6051</v>
      </c>
      <c r="D93" s="23" t="n">
        <f aca="false">D55-D61</f>
        <v>5370</v>
      </c>
      <c r="E93" s="23" t="n">
        <f aca="false">E55-E61</f>
        <v>3501</v>
      </c>
      <c r="F93" s="23" t="n">
        <f aca="false">F55-F61</f>
        <v>6745</v>
      </c>
      <c r="G93" s="23" t="n">
        <f aca="false">G55-G61</f>
        <v>6629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7"/>
    <col collapsed="false" customWidth="true" hidden="false" outlineLevel="0" max="7" min="3" style="0" width="11"/>
    <col collapsed="false" customWidth="true" hidden="false" outlineLevel="0" max="8" min="8" style="0" width="120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132</v>
      </c>
    </row>
    <row r="5" customFormat="false" ht="15" hidden="false" customHeight="false" outlineLevel="0" collapsed="false">
      <c r="A5" s="12" t="s">
        <v>133</v>
      </c>
      <c r="C5" s="24" t="n">
        <v>2</v>
      </c>
      <c r="D5" s="12" t="str">
        <f aca="false">CHOOSE($C$5,"Bear","Base","Bull")</f>
        <v>Base</v>
      </c>
    </row>
    <row r="7" customFormat="false" ht="15" hidden="false" customHeight="false" outlineLevel="0" collapsed="false">
      <c r="A7" s="16" t="s">
        <v>134</v>
      </c>
      <c r="B7" s="17" t="s">
        <v>135</v>
      </c>
      <c r="C7" s="17" t="s">
        <v>136</v>
      </c>
      <c r="D7" s="17" t="s">
        <v>137</v>
      </c>
      <c r="E7" s="17" t="s">
        <v>138</v>
      </c>
      <c r="F7" s="17" t="s">
        <v>139</v>
      </c>
      <c r="G7" s="17" t="s">
        <v>140</v>
      </c>
      <c r="H7" s="17" t="s">
        <v>141</v>
      </c>
    </row>
    <row r="8" customFormat="false" ht="15" hidden="false" customHeight="false" outlineLevel="0" collapsed="false">
      <c r="A8" s="12" t="s">
        <v>142</v>
      </c>
      <c r="B8" s="6" t="s">
        <v>143</v>
      </c>
      <c r="C8" s="25" t="n">
        <f aca="false">CHOOSE($C$5,C9,C10,C11)</f>
        <v>26</v>
      </c>
      <c r="D8" s="25" t="n">
        <f aca="false">CHOOSE($C$5,D9,D10,D11)</f>
        <v>27</v>
      </c>
      <c r="E8" s="25" t="n">
        <f aca="false">CHOOSE($C$5,E9,E10,E11)</f>
        <v>27</v>
      </c>
      <c r="F8" s="25" t="n">
        <f aca="false">CHOOSE($C$5,F9,F10,F11)</f>
        <v>27</v>
      </c>
      <c r="G8" s="25" t="n">
        <f aca="false">CHOOSE($C$5,G9,G10,G11)</f>
        <v>27</v>
      </c>
      <c r="H8" s="3" t="s">
        <v>144</v>
      </c>
    </row>
    <row r="9" customFormat="false" ht="15" hidden="false" customHeight="false" outlineLevel="0" collapsed="false">
      <c r="A9" s="3" t="s">
        <v>145</v>
      </c>
      <c r="C9" s="18" t="n">
        <v>26</v>
      </c>
      <c r="D9" s="18" t="n">
        <v>22</v>
      </c>
      <c r="E9" s="18" t="n">
        <v>22</v>
      </c>
      <c r="F9" s="18" t="n">
        <v>22</v>
      </c>
      <c r="G9" s="18" t="n">
        <v>22</v>
      </c>
    </row>
    <row r="10" customFormat="false" ht="15" hidden="false" customHeight="false" outlineLevel="0" collapsed="false">
      <c r="A10" s="3" t="s">
        <v>146</v>
      </c>
      <c r="C10" s="18" t="n">
        <v>26</v>
      </c>
      <c r="D10" s="18" t="n">
        <v>27</v>
      </c>
      <c r="E10" s="18" t="n">
        <v>27</v>
      </c>
      <c r="F10" s="18" t="n">
        <v>27</v>
      </c>
      <c r="G10" s="18" t="n">
        <v>27</v>
      </c>
    </row>
    <row r="11" customFormat="false" ht="15" hidden="false" customHeight="false" outlineLevel="0" collapsed="false">
      <c r="A11" s="3" t="s">
        <v>147</v>
      </c>
      <c r="C11" s="18" t="n">
        <v>26</v>
      </c>
      <c r="D11" s="18" t="n">
        <v>30</v>
      </c>
      <c r="E11" s="18" t="n">
        <v>30</v>
      </c>
      <c r="F11" s="18" t="n">
        <v>30</v>
      </c>
      <c r="G11" s="18" t="n">
        <v>30</v>
      </c>
    </row>
    <row r="13" customFormat="false" ht="15" hidden="false" customHeight="false" outlineLevel="0" collapsed="false">
      <c r="A13" s="12" t="s">
        <v>148</v>
      </c>
      <c r="B13" s="6" t="s">
        <v>149</v>
      </c>
      <c r="C13" s="26" t="n">
        <f aca="false">CHOOSE($C$5,C14,C15,C16)</f>
        <v>0.055</v>
      </c>
      <c r="D13" s="26" t="n">
        <f aca="false">CHOOSE($C$5,D14,D15,D16)</f>
        <v>0.05</v>
      </c>
      <c r="E13" s="26" t="n">
        <f aca="false">CHOOSE($C$5,E14,E15,E16)</f>
        <v>0.045</v>
      </c>
      <c r="F13" s="26" t="n">
        <f aca="false">CHOOSE($C$5,F14,F15,F16)</f>
        <v>0.04</v>
      </c>
      <c r="G13" s="26" t="n">
        <f aca="false">CHOOSE($C$5,G14,G15,G16)</f>
        <v>0.04</v>
      </c>
      <c r="H13" s="3" t="s">
        <v>150</v>
      </c>
    </row>
    <row r="14" customFormat="false" ht="15" hidden="false" customHeight="false" outlineLevel="0" collapsed="false">
      <c r="A14" s="3" t="s">
        <v>145</v>
      </c>
      <c r="C14" s="27" t="n">
        <v>0.045</v>
      </c>
      <c r="D14" s="27" t="n">
        <v>0.035</v>
      </c>
      <c r="E14" s="27" t="n">
        <v>0.03</v>
      </c>
      <c r="F14" s="27" t="n">
        <v>0.025</v>
      </c>
      <c r="G14" s="27" t="n">
        <v>0.025</v>
      </c>
    </row>
    <row r="15" customFormat="false" ht="15" hidden="false" customHeight="false" outlineLevel="0" collapsed="false">
      <c r="A15" s="3" t="s">
        <v>146</v>
      </c>
      <c r="C15" s="27" t="n">
        <v>0.055</v>
      </c>
      <c r="D15" s="27" t="n">
        <v>0.05</v>
      </c>
      <c r="E15" s="27" t="n">
        <v>0.045</v>
      </c>
      <c r="F15" s="27" t="n">
        <v>0.04</v>
      </c>
      <c r="G15" s="27" t="n">
        <v>0.04</v>
      </c>
    </row>
    <row r="16" customFormat="false" ht="15" hidden="false" customHeight="false" outlineLevel="0" collapsed="false">
      <c r="A16" s="3" t="s">
        <v>147</v>
      </c>
      <c r="C16" s="27" t="n">
        <v>0.06</v>
      </c>
      <c r="D16" s="27" t="n">
        <v>0.06</v>
      </c>
      <c r="E16" s="27" t="n">
        <v>0.055</v>
      </c>
      <c r="F16" s="27" t="n">
        <v>0.05</v>
      </c>
      <c r="G16" s="27" t="n">
        <v>0.05</v>
      </c>
    </row>
    <row r="18" customFormat="false" ht="15" hidden="false" customHeight="false" outlineLevel="0" collapsed="false">
      <c r="A18" s="12" t="s">
        <v>151</v>
      </c>
      <c r="B18" s="6" t="s">
        <v>149</v>
      </c>
      <c r="C18" s="26" t="n">
        <f aca="false">CHOOSE($C$5,C19,C20,C21)</f>
        <v>0.07</v>
      </c>
      <c r="D18" s="26" t="n">
        <f aca="false">CHOOSE($C$5,D19,D20,D21)</f>
        <v>0.065</v>
      </c>
      <c r="E18" s="26" t="n">
        <f aca="false">CHOOSE($C$5,E19,E20,E21)</f>
        <v>0.06</v>
      </c>
      <c r="F18" s="26" t="n">
        <f aca="false">CHOOSE($C$5,F19,F20,F21)</f>
        <v>0.055</v>
      </c>
      <c r="G18" s="26" t="n">
        <f aca="false">CHOOSE($C$5,G19,G20,G21)</f>
        <v>0.05</v>
      </c>
      <c r="H18" s="3" t="s">
        <v>152</v>
      </c>
    </row>
    <row r="19" customFormat="false" ht="15" hidden="false" customHeight="false" outlineLevel="0" collapsed="false">
      <c r="A19" s="3" t="s">
        <v>145</v>
      </c>
      <c r="C19" s="27" t="n">
        <v>0.06</v>
      </c>
      <c r="D19" s="27" t="n">
        <v>0.05</v>
      </c>
      <c r="E19" s="27" t="n">
        <v>0.045</v>
      </c>
      <c r="F19" s="27" t="n">
        <v>0.04</v>
      </c>
      <c r="G19" s="27" t="n">
        <v>0.04</v>
      </c>
    </row>
    <row r="20" customFormat="false" ht="15" hidden="false" customHeight="false" outlineLevel="0" collapsed="false">
      <c r="A20" s="3" t="s">
        <v>146</v>
      </c>
      <c r="C20" s="27" t="n">
        <v>0.07</v>
      </c>
      <c r="D20" s="27" t="n">
        <v>0.065</v>
      </c>
      <c r="E20" s="27" t="n">
        <v>0.06</v>
      </c>
      <c r="F20" s="27" t="n">
        <v>0.055</v>
      </c>
      <c r="G20" s="27" t="n">
        <v>0.05</v>
      </c>
    </row>
    <row r="21" customFormat="false" ht="15" hidden="false" customHeight="false" outlineLevel="0" collapsed="false">
      <c r="A21" s="3" t="s">
        <v>147</v>
      </c>
      <c r="C21" s="27" t="n">
        <v>0.075</v>
      </c>
      <c r="D21" s="27" t="n">
        <v>0.07</v>
      </c>
      <c r="E21" s="27" t="n">
        <v>0.065</v>
      </c>
      <c r="F21" s="27" t="n">
        <v>0.06</v>
      </c>
      <c r="G21" s="27" t="n">
        <v>0.06</v>
      </c>
    </row>
    <row r="23" customFormat="false" ht="15" hidden="false" customHeight="false" outlineLevel="0" collapsed="false">
      <c r="A23" s="12" t="s">
        <v>124</v>
      </c>
      <c r="B23" s="6" t="s">
        <v>149</v>
      </c>
      <c r="C23" s="28" t="n">
        <f aca="false">CHOOSE($C$5,C24,C25,C26)</f>
        <v>0.11</v>
      </c>
      <c r="D23" s="28" t="n">
        <f aca="false">CHOOSE($C$5,D24,D25,D26)</f>
        <v>0.11</v>
      </c>
      <c r="E23" s="28" t="n">
        <f aca="false">CHOOSE($C$5,E24,E25,E26)</f>
        <v>0.11</v>
      </c>
      <c r="F23" s="28" t="n">
        <f aca="false">CHOOSE($C$5,F24,F25,F26)</f>
        <v>0.11</v>
      </c>
      <c r="G23" s="28" t="n">
        <f aca="false">CHOOSE($C$5,G24,G25,G26)</f>
        <v>0.11</v>
      </c>
      <c r="H23" s="3" t="s">
        <v>153</v>
      </c>
    </row>
    <row r="24" customFormat="false" ht="15" hidden="false" customHeight="false" outlineLevel="0" collapsed="false">
      <c r="A24" s="3" t="s">
        <v>145</v>
      </c>
      <c r="C24" s="29" t="n">
        <v>0.1085</v>
      </c>
      <c r="D24" s="29" t="n">
        <v>0.1085</v>
      </c>
      <c r="E24" s="29" t="n">
        <v>0.1085</v>
      </c>
      <c r="F24" s="29" t="n">
        <v>0.1085</v>
      </c>
      <c r="G24" s="29" t="n">
        <v>0.1085</v>
      </c>
    </row>
    <row r="25" customFormat="false" ht="15" hidden="false" customHeight="false" outlineLevel="0" collapsed="false">
      <c r="A25" s="3" t="s">
        <v>146</v>
      </c>
      <c r="C25" s="29" t="n">
        <v>0.11</v>
      </c>
      <c r="D25" s="29" t="n">
        <v>0.11</v>
      </c>
      <c r="E25" s="29" t="n">
        <v>0.11</v>
      </c>
      <c r="F25" s="29" t="n">
        <v>0.11</v>
      </c>
      <c r="G25" s="29" t="n">
        <v>0.11</v>
      </c>
    </row>
    <row r="26" customFormat="false" ht="15" hidden="false" customHeight="false" outlineLevel="0" collapsed="false">
      <c r="A26" s="3" t="s">
        <v>147</v>
      </c>
      <c r="C26" s="29" t="n">
        <v>0.111</v>
      </c>
      <c r="D26" s="29" t="n">
        <v>0.111</v>
      </c>
      <c r="E26" s="29" t="n">
        <v>0.111</v>
      </c>
      <c r="F26" s="29" t="n">
        <v>0.111</v>
      </c>
      <c r="G26" s="29" t="n">
        <v>0.111</v>
      </c>
    </row>
    <row r="28" customFormat="false" ht="15" hidden="false" customHeight="false" outlineLevel="0" collapsed="false">
      <c r="A28" s="12" t="s">
        <v>154</v>
      </c>
      <c r="B28" s="6" t="s">
        <v>149</v>
      </c>
      <c r="C28" s="28" t="n">
        <f aca="false">CHOOSE($C$5,C29,C30,C31)</f>
        <v>0.092</v>
      </c>
      <c r="D28" s="28" t="n">
        <f aca="false">CHOOSE($C$5,D29,D30,D31)</f>
        <v>0.092</v>
      </c>
      <c r="E28" s="28" t="n">
        <f aca="false">CHOOSE($C$5,E29,E30,E31)</f>
        <v>0.092</v>
      </c>
      <c r="F28" s="28" t="n">
        <f aca="false">CHOOSE($C$5,F29,F30,F31)</f>
        <v>0.092</v>
      </c>
      <c r="G28" s="28" t="n">
        <f aca="false">CHOOSE($C$5,G29,G30,G31)</f>
        <v>0.092</v>
      </c>
      <c r="H28" s="3" t="s">
        <v>155</v>
      </c>
    </row>
    <row r="29" customFormat="false" ht="15" hidden="false" customHeight="false" outlineLevel="0" collapsed="false">
      <c r="A29" s="3" t="s">
        <v>145</v>
      </c>
      <c r="C29" s="29" t="n">
        <v>0.093</v>
      </c>
      <c r="D29" s="29" t="n">
        <v>0.093</v>
      </c>
      <c r="E29" s="29" t="n">
        <v>0.093</v>
      </c>
      <c r="F29" s="29" t="n">
        <v>0.093</v>
      </c>
      <c r="G29" s="29" t="n">
        <v>0.093</v>
      </c>
    </row>
    <row r="30" customFormat="false" ht="15" hidden="false" customHeight="false" outlineLevel="0" collapsed="false">
      <c r="A30" s="3" t="s">
        <v>146</v>
      </c>
      <c r="C30" s="29" t="n">
        <v>0.092</v>
      </c>
      <c r="D30" s="29" t="n">
        <v>0.092</v>
      </c>
      <c r="E30" s="29" t="n">
        <v>0.092</v>
      </c>
      <c r="F30" s="29" t="n">
        <v>0.092</v>
      </c>
      <c r="G30" s="29" t="n">
        <v>0.092</v>
      </c>
    </row>
    <row r="31" customFormat="false" ht="15" hidden="false" customHeight="false" outlineLevel="0" collapsed="false">
      <c r="A31" s="3" t="s">
        <v>147</v>
      </c>
      <c r="C31" s="29" t="n">
        <v>0.0915</v>
      </c>
      <c r="D31" s="29" t="n">
        <v>0.0915</v>
      </c>
      <c r="E31" s="29" t="n">
        <v>0.0915</v>
      </c>
      <c r="F31" s="29" t="n">
        <v>0.0915</v>
      </c>
      <c r="G31" s="29" t="n">
        <v>0.0915</v>
      </c>
    </row>
    <row r="34" customFormat="false" ht="15" hidden="false" customHeight="false" outlineLevel="0" collapsed="false">
      <c r="A34" s="4" t="s">
        <v>156</v>
      </c>
    </row>
    <row r="35" customFormat="false" ht="15" hidden="false" customHeight="false" outlineLevel="0" collapsed="false">
      <c r="A35" s="12" t="s">
        <v>157</v>
      </c>
      <c r="B35" s="6" t="s">
        <v>158</v>
      </c>
      <c r="C35" s="30" t="n">
        <v>0.65</v>
      </c>
      <c r="D35" s="30" t="n">
        <v>0.65</v>
      </c>
      <c r="E35" s="30" t="n">
        <v>0.65</v>
      </c>
      <c r="F35" s="30" t="n">
        <v>0.65</v>
      </c>
      <c r="G35" s="30" t="n">
        <v>0.65</v>
      </c>
      <c r="H35" s="3" t="s">
        <v>159</v>
      </c>
    </row>
    <row r="36" customFormat="false" ht="15" hidden="false" customHeight="false" outlineLevel="0" collapsed="false">
      <c r="A36" s="12" t="s">
        <v>160</v>
      </c>
      <c r="B36" s="6" t="s">
        <v>149</v>
      </c>
      <c r="C36" s="27" t="n">
        <v>0.0833</v>
      </c>
      <c r="D36" s="27" t="n">
        <v>0.0833</v>
      </c>
      <c r="E36" s="27" t="n">
        <v>0.0833</v>
      </c>
      <c r="F36" s="27" t="n">
        <v>0.0833</v>
      </c>
      <c r="G36" s="27" t="n">
        <v>0.0833</v>
      </c>
      <c r="H36" s="3" t="s">
        <v>161</v>
      </c>
    </row>
    <row r="37" customFormat="false" ht="15" hidden="false" customHeight="false" outlineLevel="0" collapsed="false">
      <c r="A37" s="12" t="s">
        <v>162</v>
      </c>
      <c r="B37" s="6" t="s">
        <v>149</v>
      </c>
      <c r="C37" s="27" t="n">
        <v>0.85</v>
      </c>
      <c r="D37" s="27" t="n">
        <v>0.85</v>
      </c>
      <c r="E37" s="27" t="n">
        <v>0.85</v>
      </c>
      <c r="F37" s="27" t="n">
        <v>0.85</v>
      </c>
      <c r="G37" s="27" t="n">
        <v>0.85</v>
      </c>
      <c r="H37" s="3" t="s">
        <v>163</v>
      </c>
    </row>
    <row r="38" customFormat="false" ht="15" hidden="false" customHeight="false" outlineLevel="0" collapsed="false">
      <c r="A38" s="12" t="s">
        <v>164</v>
      </c>
      <c r="B38" s="6" t="s">
        <v>149</v>
      </c>
      <c r="C38" s="27" t="n">
        <v>0.5</v>
      </c>
      <c r="D38" s="27" t="n">
        <v>0.5</v>
      </c>
      <c r="E38" s="27" t="n">
        <v>0</v>
      </c>
      <c r="F38" s="27" t="n">
        <v>0</v>
      </c>
      <c r="G38" s="27" t="n">
        <v>0</v>
      </c>
      <c r="H38" s="3" t="s">
        <v>165</v>
      </c>
    </row>
    <row r="39" customFormat="false" ht="15" hidden="false" customHeight="false" outlineLevel="0" collapsed="false">
      <c r="A39" s="12" t="s">
        <v>166</v>
      </c>
      <c r="B39" s="6" t="s">
        <v>149</v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0</v>
      </c>
      <c r="H39" s="3" t="s">
        <v>167</v>
      </c>
    </row>
    <row r="40" customFormat="false" ht="15" hidden="false" customHeight="false" outlineLevel="0" collapsed="false">
      <c r="A40" s="12" t="s">
        <v>168</v>
      </c>
      <c r="B40" s="6" t="s">
        <v>149</v>
      </c>
      <c r="C40" s="27" t="n">
        <v>0.26</v>
      </c>
      <c r="D40" s="27" t="n">
        <v>0.26</v>
      </c>
      <c r="E40" s="27" t="n">
        <v>0.26</v>
      </c>
      <c r="F40" s="27" t="n">
        <v>0.26</v>
      </c>
      <c r="G40" s="27" t="n">
        <v>0.26</v>
      </c>
      <c r="H40" s="3" t="s">
        <v>169</v>
      </c>
    </row>
    <row r="41" customFormat="false" ht="15" hidden="false" customHeight="false" outlineLevel="0" collapsed="false">
      <c r="A41" s="12" t="s">
        <v>170</v>
      </c>
      <c r="B41" s="6" t="s">
        <v>149</v>
      </c>
      <c r="C41" s="27" t="n">
        <v>0.084</v>
      </c>
      <c r="D41" s="27" t="n">
        <v>0.084</v>
      </c>
      <c r="E41" s="27" t="n">
        <v>0.084</v>
      </c>
      <c r="F41" s="27" t="n">
        <v>0.084</v>
      </c>
      <c r="G41" s="27" t="n">
        <v>0.084</v>
      </c>
      <c r="H41" s="3" t="s">
        <v>171</v>
      </c>
    </row>
    <row r="42" customFormat="false" ht="15" hidden="false" customHeight="false" outlineLevel="0" collapsed="false">
      <c r="A42" s="12" t="s">
        <v>172</v>
      </c>
      <c r="B42" s="6" t="s">
        <v>149</v>
      </c>
      <c r="C42" s="29" t="n">
        <v>0.0185</v>
      </c>
      <c r="D42" s="29" t="n">
        <v>0.0185</v>
      </c>
      <c r="E42" s="29" t="n">
        <v>0.0185</v>
      </c>
      <c r="F42" s="29" t="n">
        <v>0.0185</v>
      </c>
      <c r="G42" s="29" t="n">
        <v>0.0185</v>
      </c>
      <c r="H42" s="3" t="s">
        <v>173</v>
      </c>
    </row>
    <row r="43" customFormat="false" ht="15" hidden="false" customHeight="false" outlineLevel="0" collapsed="false">
      <c r="A43" s="12" t="s">
        <v>174</v>
      </c>
      <c r="B43" s="6" t="s">
        <v>175</v>
      </c>
      <c r="C43" s="18" t="n">
        <v>5000</v>
      </c>
    </row>
    <row r="44" customFormat="false" ht="15" hidden="false" customHeight="false" outlineLevel="0" collapsed="false">
      <c r="A44" s="12" t="s">
        <v>176</v>
      </c>
      <c r="B44" s="6" t="s">
        <v>149</v>
      </c>
      <c r="C44" s="29" t="n">
        <v>0.01069</v>
      </c>
      <c r="D44" s="29" t="n">
        <v>0.01069</v>
      </c>
      <c r="E44" s="29" t="n">
        <v>0.01069</v>
      </c>
      <c r="F44" s="29" t="n">
        <v>0.01069</v>
      </c>
      <c r="G44" s="29" t="n">
        <v>0.01069</v>
      </c>
      <c r="H44" s="3" t="s">
        <v>177</v>
      </c>
    </row>
    <row r="45" customFormat="false" ht="15" hidden="false" customHeight="false" outlineLevel="0" collapsed="false">
      <c r="A45" s="12" t="s">
        <v>178</v>
      </c>
      <c r="B45" s="6" t="s">
        <v>149</v>
      </c>
      <c r="C45" s="29" t="n">
        <v>0.07328</v>
      </c>
      <c r="D45" s="29" t="n">
        <v>0.07328</v>
      </c>
      <c r="E45" s="29" t="n">
        <v>0.07328</v>
      </c>
      <c r="F45" s="29" t="n">
        <v>0.07328</v>
      </c>
      <c r="G45" s="29" t="n">
        <v>0.07328</v>
      </c>
      <c r="H45" s="3" t="s">
        <v>177</v>
      </c>
    </row>
    <row r="46" customFormat="false" ht="15" hidden="false" customHeight="false" outlineLevel="0" collapsed="false">
      <c r="A46" s="12" t="s">
        <v>179</v>
      </c>
      <c r="B46" s="6" t="s">
        <v>149</v>
      </c>
      <c r="C46" s="29" t="n">
        <v>0.00681</v>
      </c>
      <c r="D46" s="29" t="n">
        <v>0.00681</v>
      </c>
      <c r="E46" s="29" t="n">
        <v>0.00681</v>
      </c>
      <c r="F46" s="29" t="n">
        <v>0.00681</v>
      </c>
      <c r="G46" s="29" t="n">
        <v>0.00681</v>
      </c>
      <c r="H46" s="3" t="s">
        <v>177</v>
      </c>
    </row>
    <row r="47" customFormat="false" ht="15" hidden="false" customHeight="false" outlineLevel="0" collapsed="false">
      <c r="A47" s="12" t="s">
        <v>180</v>
      </c>
      <c r="B47" s="6" t="s">
        <v>149</v>
      </c>
      <c r="C47" s="29" t="n">
        <v>0.07632</v>
      </c>
      <c r="D47" s="29" t="n">
        <v>0.07632</v>
      </c>
      <c r="E47" s="29" t="n">
        <v>0.07632</v>
      </c>
      <c r="F47" s="29" t="n">
        <v>0.07632</v>
      </c>
      <c r="G47" s="29" t="n">
        <v>0.07632</v>
      </c>
      <c r="H47" s="3" t="s">
        <v>177</v>
      </c>
    </row>
    <row r="48" customFormat="false" ht="15" hidden="false" customHeight="false" outlineLevel="0" collapsed="false">
      <c r="A48" s="12" t="s">
        <v>181</v>
      </c>
      <c r="B48" s="6" t="s">
        <v>149</v>
      </c>
      <c r="C48" s="29" t="n">
        <v>0.01884</v>
      </c>
      <c r="D48" s="29" t="n">
        <v>0.01884</v>
      </c>
      <c r="E48" s="29" t="n">
        <v>0.01884</v>
      </c>
      <c r="F48" s="29" t="n">
        <v>0.01884</v>
      </c>
      <c r="G48" s="29" t="n">
        <v>0.01884</v>
      </c>
      <c r="H48" s="3" t="s">
        <v>177</v>
      </c>
    </row>
    <row r="49" customFormat="false" ht="15" hidden="false" customHeight="false" outlineLevel="0" collapsed="false">
      <c r="A49" s="12" t="s">
        <v>182</v>
      </c>
      <c r="B49" s="6" t="s">
        <v>149</v>
      </c>
      <c r="C49" s="29" t="n">
        <v>0.00957</v>
      </c>
      <c r="D49" s="29" t="n">
        <v>0.00957</v>
      </c>
      <c r="E49" s="29" t="n">
        <v>0.00957</v>
      </c>
      <c r="F49" s="29" t="n">
        <v>0.00957</v>
      </c>
      <c r="G49" s="29" t="n">
        <v>0.00957</v>
      </c>
      <c r="H49" s="3" t="s">
        <v>177</v>
      </c>
    </row>
    <row r="50" customFormat="false" ht="15" hidden="false" customHeight="false" outlineLevel="0" collapsed="false">
      <c r="A50" s="12" t="s">
        <v>183</v>
      </c>
      <c r="B50" s="6" t="s">
        <v>149</v>
      </c>
      <c r="C50" s="29" t="n">
        <v>0.02441</v>
      </c>
      <c r="D50" s="29" t="n">
        <v>0.02441</v>
      </c>
      <c r="E50" s="29" t="n">
        <v>0.02441</v>
      </c>
      <c r="F50" s="29" t="n">
        <v>0.02441</v>
      </c>
      <c r="G50" s="29" t="n">
        <v>0.02441</v>
      </c>
      <c r="H50" s="3" t="s">
        <v>177</v>
      </c>
    </row>
    <row r="51" customFormat="false" ht="15" hidden="false" customHeight="false" outlineLevel="0" collapsed="false">
      <c r="A51" s="12" t="s">
        <v>184</v>
      </c>
      <c r="B51" s="6" t="s">
        <v>149</v>
      </c>
      <c r="C51" s="27" t="n">
        <v>0.518</v>
      </c>
      <c r="D51" s="27" t="n">
        <v>0.518</v>
      </c>
      <c r="E51" s="27" t="n">
        <v>0.518</v>
      </c>
      <c r="F51" s="27" t="n">
        <v>0.518</v>
      </c>
      <c r="G51" s="27" t="n">
        <v>0.518</v>
      </c>
      <c r="H51" s="3" t="s">
        <v>177</v>
      </c>
    </row>
    <row r="52" customFormat="false" ht="15" hidden="false" customHeight="false" outlineLevel="0" collapsed="false">
      <c r="A52" s="12" t="s">
        <v>56</v>
      </c>
      <c r="B52" s="6" t="s">
        <v>175</v>
      </c>
      <c r="C52" s="18" t="n">
        <v>169</v>
      </c>
      <c r="D52" s="18" t="n">
        <v>169</v>
      </c>
      <c r="E52" s="18" t="n">
        <v>169</v>
      </c>
      <c r="F52" s="18" t="n">
        <v>169</v>
      </c>
      <c r="G52" s="18" t="n">
        <v>169</v>
      </c>
      <c r="H52" s="3" t="s">
        <v>185</v>
      </c>
    </row>
    <row r="53" customFormat="false" ht="15" hidden="false" customHeight="false" outlineLevel="0" collapsed="false">
      <c r="A53" s="12" t="s">
        <v>186</v>
      </c>
      <c r="B53" s="6" t="s">
        <v>149</v>
      </c>
      <c r="C53" s="29" t="n">
        <v>0.035</v>
      </c>
      <c r="D53" s="29" t="n">
        <v>0.0325</v>
      </c>
      <c r="E53" s="29" t="n">
        <v>0.03</v>
      </c>
      <c r="F53" s="29" t="n">
        <v>0.03</v>
      </c>
      <c r="G53" s="29" t="n">
        <v>0.03</v>
      </c>
      <c r="H53" s="3" t="s">
        <v>185</v>
      </c>
    </row>
    <row r="54" customFormat="false" ht="15" hidden="false" customHeight="false" outlineLevel="0" collapsed="false">
      <c r="A54" s="12" t="s">
        <v>187</v>
      </c>
      <c r="B54" s="6" t="s">
        <v>149</v>
      </c>
      <c r="C54" s="27" t="n">
        <v>0.27</v>
      </c>
      <c r="D54" s="27" t="n">
        <v>0.27</v>
      </c>
      <c r="E54" s="27" t="n">
        <v>0.27</v>
      </c>
      <c r="F54" s="27" t="n">
        <v>0.27</v>
      </c>
      <c r="G54" s="27" t="n">
        <v>0.27</v>
      </c>
      <c r="H54" s="3" t="s">
        <v>188</v>
      </c>
    </row>
    <row r="55" customFormat="false" ht="15" hidden="false" customHeight="false" outlineLevel="0" collapsed="false">
      <c r="A55" s="12" t="s">
        <v>189</v>
      </c>
      <c r="B55" s="6" t="s">
        <v>175</v>
      </c>
      <c r="C55" s="18" t="n">
        <v>700</v>
      </c>
      <c r="D55" s="18" t="n">
        <v>700</v>
      </c>
      <c r="E55" s="18" t="n">
        <v>700</v>
      </c>
      <c r="F55" s="18" t="n">
        <v>700</v>
      </c>
      <c r="G55" s="18" t="n">
        <v>700</v>
      </c>
      <c r="H55" s="3" t="s">
        <v>188</v>
      </c>
    </row>
    <row r="56" customFormat="false" ht="15" hidden="false" customHeight="false" outlineLevel="0" collapsed="false">
      <c r="A56" s="12" t="s">
        <v>190</v>
      </c>
      <c r="B56" s="6" t="s">
        <v>149</v>
      </c>
      <c r="C56" s="29" t="n">
        <v>0.0032</v>
      </c>
      <c r="D56" s="29" t="n">
        <v>0.0032</v>
      </c>
      <c r="E56" s="29" t="n">
        <v>0.0032</v>
      </c>
      <c r="F56" s="29" t="n">
        <v>0.0032</v>
      </c>
      <c r="G56" s="29" t="n">
        <v>0.0032</v>
      </c>
      <c r="H56" s="3" t="s">
        <v>191</v>
      </c>
    </row>
    <row r="57" customFormat="false" ht="15" hidden="false" customHeight="false" outlineLevel="0" collapsed="false">
      <c r="A57" s="12" t="s">
        <v>192</v>
      </c>
      <c r="B57" s="6" t="s">
        <v>193</v>
      </c>
      <c r="C57" s="20" t="n">
        <v>444.9</v>
      </c>
      <c r="D57" s="20" t="n">
        <v>444.9</v>
      </c>
      <c r="E57" s="20" t="n">
        <v>444.9</v>
      </c>
      <c r="F57" s="20" t="n">
        <v>444.9</v>
      </c>
      <c r="G57" s="20" t="n">
        <v>444.9</v>
      </c>
      <c r="H57" s="3" t="s">
        <v>194</v>
      </c>
    </row>
    <row r="59" customFormat="false" ht="15" hidden="false" customHeight="false" outlineLevel="0" collapsed="false">
      <c r="A59" s="4" t="s">
        <v>195</v>
      </c>
    </row>
    <row r="60" customFormat="false" ht="15" hidden="false" customHeight="false" outlineLevel="0" collapsed="false">
      <c r="A60" s="12" t="s">
        <v>196</v>
      </c>
      <c r="B60" s="6" t="s">
        <v>149</v>
      </c>
      <c r="C60" s="26" t="n">
        <f aca="false">CHOOSE($C$5,D60,E60,F60)</f>
        <v>0.03</v>
      </c>
      <c r="D60" s="27" t="n">
        <v>0.025</v>
      </c>
      <c r="E60" s="27" t="n">
        <v>0.03</v>
      </c>
      <c r="F60" s="27" t="n">
        <v>0.035</v>
      </c>
      <c r="H60" s="3" t="s">
        <v>197</v>
      </c>
    </row>
    <row r="61" customFormat="false" ht="15" hidden="false" customHeight="false" outlineLevel="0" collapsed="false">
      <c r="A61" s="12" t="s">
        <v>198</v>
      </c>
      <c r="B61" s="6" t="s">
        <v>149</v>
      </c>
      <c r="C61" s="26" t="n">
        <f aca="false">CHOOSE($C$5,D61,E61,F61)</f>
        <v>0.25</v>
      </c>
      <c r="D61" s="27" t="n">
        <v>0.15</v>
      </c>
      <c r="E61" s="27" t="n">
        <v>0.25</v>
      </c>
      <c r="F61" s="27" t="n">
        <v>0.35</v>
      </c>
      <c r="H61" s="3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6"/>
    <col collapsed="false" customWidth="true" hidden="false" outlineLevel="0" max="8" min="3" style="0" width="12"/>
  </cols>
  <sheetData>
    <row r="1" customFormat="false" ht="17.35" hidden="false" customHeight="false" outlineLevel="0" collapsed="false">
      <c r="A1" s="1" t="s">
        <v>200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201</v>
      </c>
    </row>
    <row r="5" customFormat="false" ht="15" hidden="false" customHeight="false" outlineLevel="0" collapsed="false">
      <c r="A5" s="16" t="s">
        <v>202</v>
      </c>
      <c r="B5" s="17" t="s">
        <v>203</v>
      </c>
      <c r="C5" s="17" t="s">
        <v>204</v>
      </c>
      <c r="D5" s="17" t="s">
        <v>136</v>
      </c>
      <c r="E5" s="17" t="s">
        <v>137</v>
      </c>
      <c r="F5" s="17" t="s">
        <v>138</v>
      </c>
      <c r="G5" s="17" t="s">
        <v>139</v>
      </c>
      <c r="H5" s="17" t="s">
        <v>140</v>
      </c>
    </row>
    <row r="6" customFormat="false" ht="15" hidden="false" customHeight="false" outlineLevel="0" collapsed="false">
      <c r="A6" s="4" t="s">
        <v>205</v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6" t="s">
        <v>117</v>
      </c>
      <c r="C7" s="31" t="n">
        <f aca="false">Historicals!$G$79</f>
        <v>890</v>
      </c>
      <c r="D7" s="23" t="n">
        <f aca="false">C7+Assumptions!$C$8</f>
        <v>916</v>
      </c>
      <c r="E7" s="23" t="n">
        <f aca="false">D7+Assumptions!$D$8</f>
        <v>943</v>
      </c>
      <c r="F7" s="23" t="n">
        <f aca="false">E7+Assumptions!$E$8</f>
        <v>970</v>
      </c>
      <c r="G7" s="23" t="n">
        <f aca="false">F7+Assumptions!$F$8</f>
        <v>997</v>
      </c>
      <c r="H7" s="23" t="n">
        <f aca="false">G7+Assumptions!$G$8</f>
        <v>1024</v>
      </c>
    </row>
    <row r="8" customFormat="false" ht="15" hidden="false" customHeight="false" outlineLevel="0" collapsed="false">
      <c r="A8" s="6" t="s">
        <v>206</v>
      </c>
      <c r="D8" s="21" t="n">
        <f aca="false">Assumptions!$C$8/C7</f>
        <v>0.0292134831460674</v>
      </c>
      <c r="E8" s="21" t="n">
        <f aca="false">Assumptions!$D$8/D7</f>
        <v>0.0294759825327511</v>
      </c>
      <c r="F8" s="21" t="n">
        <f aca="false">Assumptions!$E$8/E7</f>
        <v>0.0286320254506893</v>
      </c>
      <c r="G8" s="21" t="n">
        <f aca="false">Assumptions!$F$8/F7</f>
        <v>0.0278350515463918</v>
      </c>
      <c r="H8" s="21" t="n">
        <f aca="false">Assumptions!$G$8/G7</f>
        <v>0.0270812437311936</v>
      </c>
    </row>
    <row r="9" customFormat="false" ht="15" hidden="false" customHeight="false" outlineLevel="0" collapsed="false">
      <c r="A9" s="6" t="s">
        <v>207</v>
      </c>
      <c r="D9" s="32" t="n">
        <f aca="false">Assumptions!$C$13</f>
        <v>0.055</v>
      </c>
      <c r="E9" s="32" t="n">
        <f aca="false">Assumptions!$D$13</f>
        <v>0.05</v>
      </c>
      <c r="F9" s="32" t="n">
        <f aca="false">Assumptions!$E$13</f>
        <v>0.045</v>
      </c>
      <c r="G9" s="32" t="n">
        <f aca="false">Assumptions!$F$13</f>
        <v>0.04</v>
      </c>
      <c r="H9" s="32" t="n">
        <f aca="false">Assumptions!$G$13</f>
        <v>0.04</v>
      </c>
    </row>
    <row r="10" customFormat="false" ht="15" hidden="false" customHeight="false" outlineLevel="0" collapsed="false">
      <c r="A10" s="6" t="s">
        <v>208</v>
      </c>
      <c r="D10" s="21" t="n">
        <f aca="false">Assumptions!$C$35*D8</f>
        <v>0.0189887640449438</v>
      </c>
      <c r="E10" s="21" t="n">
        <f aca="false">Assumptions!$D$35*E8</f>
        <v>0.0191593886462882</v>
      </c>
      <c r="F10" s="21" t="n">
        <f aca="false">Assumptions!$E$35*F8</f>
        <v>0.018610816542948</v>
      </c>
      <c r="G10" s="21" t="n">
        <f aca="false">Assumptions!$F$35*G8</f>
        <v>0.0180927835051546</v>
      </c>
      <c r="H10" s="21" t="n">
        <f aca="false">Assumptions!$G$35*H8</f>
        <v>0.0176028084252758</v>
      </c>
    </row>
    <row r="11" customFormat="false" ht="15" hidden="false" customHeight="false" outlineLevel="0" collapsed="false">
      <c r="A11" s="6" t="s">
        <v>209</v>
      </c>
      <c r="D11" s="21" t="n">
        <f aca="false">(1+D9)*(1+D10)-1</f>
        <v>0.0750331460674156</v>
      </c>
      <c r="E11" s="21" t="n">
        <f aca="false">(1+E9)*(1+E10)-1</f>
        <v>0.0701173580786028</v>
      </c>
      <c r="F11" s="21" t="n">
        <f aca="false">(1+F9)*(1+F10)-1</f>
        <v>0.0644483032873806</v>
      </c>
      <c r="G11" s="21" t="n">
        <f aca="false">(1+G9)*(1+G10)-1</f>
        <v>0.0588164948453609</v>
      </c>
      <c r="H11" s="21" t="n">
        <f aca="false">(1+H9)*(1+H10)-1</f>
        <v>0.0583069207622868</v>
      </c>
    </row>
    <row r="12" customFormat="false" ht="15" hidden="false" customHeight="false" outlineLevel="0" collapsed="false">
      <c r="A12" s="6" t="s">
        <v>210</v>
      </c>
      <c r="C12" s="33" t="n">
        <f aca="false">Historicals!$G$80</f>
        <v>76.2</v>
      </c>
      <c r="D12" s="34" t="n">
        <f aca="false">C12*(1+Assumptions!$C$18)</f>
        <v>81.534</v>
      </c>
      <c r="E12" s="34" t="n">
        <f aca="false">D12*(1+Assumptions!$D$18)</f>
        <v>86.83371</v>
      </c>
      <c r="F12" s="34" t="n">
        <f aca="false">E12*(1+Assumptions!$E$18)</f>
        <v>92.0437326</v>
      </c>
      <c r="G12" s="34" t="n">
        <f aca="false">F12*(1+Assumptions!$F$18)</f>
        <v>97.106137893</v>
      </c>
      <c r="H12" s="34" t="n">
        <f aca="false">G12*(1+Assumptions!$G$18)</f>
        <v>101.96144478765</v>
      </c>
    </row>
    <row r="13" customFormat="false" ht="15" hidden="false" customHeight="false" outlineLevel="0" collapsed="false">
      <c r="A13" s="6" t="s">
        <v>211</v>
      </c>
      <c r="D13" s="21" t="n">
        <f aca="false">Assumptions!$C$36*Assumptions!$C$37*Assumptions!$C$38</f>
        <v>0.0354025</v>
      </c>
      <c r="E13" s="21" t="n">
        <f aca="false">Assumptions!$D$36*Assumptions!$D$37*Assumptions!$D$38</f>
        <v>0.0354025</v>
      </c>
      <c r="F13" s="21" t="n">
        <f aca="false">Assumptions!$E$36*Assumptions!$E$37*Assumptions!$E$38</f>
        <v>0</v>
      </c>
      <c r="G13" s="21" t="n">
        <f aca="false">Assumptions!$F$36*Assumptions!$F$37*Assumptions!$F$38</f>
        <v>0</v>
      </c>
      <c r="H13" s="21" t="n">
        <f aca="false">Assumptions!$G$36*Assumptions!$G$37*Assumptions!$G$38</f>
        <v>0</v>
      </c>
    </row>
    <row r="14" customFormat="false" ht="15" hidden="false" customHeight="false" outlineLevel="0" collapsed="false">
      <c r="A14" s="6" t="s">
        <v>212</v>
      </c>
      <c r="C14" s="35" t="n">
        <f aca="false">Historicals!$G$8/AVERAGE(Historicals!$G$80,Historicals!$F$80)</f>
        <v>65.5978260869565</v>
      </c>
      <c r="D14" s="35" t="n">
        <f aca="false">C14*(1+D13)*(1+Assumptions!$C$39)</f>
        <v>67.920153125</v>
      </c>
      <c r="E14" s="35" t="n">
        <f aca="false">D14*(1+E13)*(1+Assumptions!$D$39)</f>
        <v>70.3246963460078</v>
      </c>
      <c r="F14" s="35" t="n">
        <f aca="false">E14*(1+F13)*(1+Assumptions!$E$39)</f>
        <v>70.3246963460078</v>
      </c>
      <c r="G14" s="35" t="n">
        <f aca="false">F14*(1+G13)*(1+Assumptions!$F$39)</f>
        <v>70.3246963460078</v>
      </c>
      <c r="H14" s="35" t="n">
        <f aca="false">G14*(1+H13)*(1+Assumptions!$G$39)</f>
        <v>70.3246963460078</v>
      </c>
    </row>
    <row r="15" customFormat="false" ht="15" hidden="false" customHeight="false" outlineLevel="0" collapsed="false">
      <c r="A15" s="4" t="s">
        <v>48</v>
      </c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6" t="s">
        <v>49</v>
      </c>
      <c r="C16" s="31" t="n">
        <f aca="false">Historicals!$G$7</f>
        <v>249625</v>
      </c>
      <c r="D16" s="23" t="n">
        <f aca="false">C16*(1+D11)</f>
        <v>268355.149087079</v>
      </c>
      <c r="E16" s="23" t="n">
        <f aca="false">D16*(1+E11)</f>
        <v>287171.503167854</v>
      </c>
      <c r="F16" s="23" t="n">
        <f aca="false">E16*(1+F11)</f>
        <v>305679.219299509</v>
      </c>
      <c r="G16" s="23" t="n">
        <f aca="false">F16*(1+G11)</f>
        <v>323658.199525773</v>
      </c>
      <c r="H16" s="23" t="n">
        <f aca="false">G16*(1+H11)</f>
        <v>342529.712519586</v>
      </c>
    </row>
    <row r="17" customFormat="false" ht="15" hidden="false" customHeight="false" outlineLevel="0" collapsed="false">
      <c r="A17" s="6" t="s">
        <v>50</v>
      </c>
      <c r="C17" s="31" t="n">
        <f aca="false">Historicals!$G$8</f>
        <v>4828</v>
      </c>
      <c r="D17" s="23" t="n">
        <f aca="false">D14*AVERAGE(D12,C12)</f>
        <v>5356.65871650938</v>
      </c>
      <c r="E17" s="23" t="n">
        <f aca="false">E14*AVERAGE(E12,D12)</f>
        <v>5920.20404011135</v>
      </c>
      <c r="F17" s="23" t="n">
        <f aca="false">F14*AVERAGE(F12,E12)</f>
        <v>6289.75091699772</v>
      </c>
      <c r="G17" s="23" t="n">
        <f aca="false">G14*AVERAGE(G12,F12)</f>
        <v>6650.95360315346</v>
      </c>
      <c r="H17" s="23" t="n">
        <f aca="false">H14*AVERAGE(H12,G12)</f>
        <v>6999.68365217526</v>
      </c>
    </row>
    <row r="18" customFormat="false" ht="15" hidden="false" customHeight="false" outlineLevel="0" collapsed="false">
      <c r="A18" s="12" t="s">
        <v>51</v>
      </c>
      <c r="C18" s="36" t="n">
        <f aca="false">C16+C17</f>
        <v>254453</v>
      </c>
      <c r="D18" s="36" t="n">
        <f aca="false">D16+D17</f>
        <v>273711.807803588</v>
      </c>
      <c r="E18" s="36" t="n">
        <f aca="false">E16+E17</f>
        <v>293091.707207966</v>
      </c>
      <c r="F18" s="36" t="n">
        <f aca="false">F16+F17</f>
        <v>311968.970216507</v>
      </c>
      <c r="G18" s="36" t="n">
        <f aca="false">G16+G17</f>
        <v>330309.153128926</v>
      </c>
      <c r="H18" s="36" t="n">
        <f aca="false">H16+H17</f>
        <v>349529.396171761</v>
      </c>
    </row>
    <row r="19" customFormat="false" ht="15" hidden="false" customHeight="false" outlineLevel="0" collapsed="false">
      <c r="A19" s="6" t="s">
        <v>52</v>
      </c>
      <c r="C19" s="31" t="n">
        <f aca="false">Historicals!$G$10</f>
        <v>222358</v>
      </c>
      <c r="D19" s="23" t="n">
        <f aca="false">D16*(1-Assumptions!$C$23)</f>
        <v>238836.0826875</v>
      </c>
      <c r="E19" s="23" t="n">
        <f aca="false">E16*(1-Assumptions!$D$23)</f>
        <v>255582.63781939</v>
      </c>
      <c r="F19" s="23" t="n">
        <f aca="false">F16*(1-Assumptions!$E$23)</f>
        <v>272054.505176563</v>
      </c>
      <c r="G19" s="23" t="n">
        <f aca="false">G16*(1-Assumptions!$F$23)</f>
        <v>288055.797577938</v>
      </c>
      <c r="H19" s="23" t="n">
        <f aca="false">H16*(1-Assumptions!$G$23)</f>
        <v>304851.444142432</v>
      </c>
    </row>
    <row r="20" customFormat="false" ht="15" hidden="false" customHeight="false" outlineLevel="0" collapsed="false">
      <c r="A20" s="6" t="s">
        <v>213</v>
      </c>
      <c r="C20" s="31" t="n">
        <f aca="false">Historicals!$G$11</f>
        <v>22810</v>
      </c>
      <c r="D20" s="23" t="n">
        <f aca="false">D16*Assumptions!$C$28</f>
        <v>24688.6737160112</v>
      </c>
      <c r="E20" s="23" t="n">
        <f aca="false">E16*Assumptions!$D$28</f>
        <v>26419.7782914426</v>
      </c>
      <c r="F20" s="23" t="n">
        <f aca="false">F16*Assumptions!$E$28</f>
        <v>28122.4881755548</v>
      </c>
      <c r="G20" s="23" t="n">
        <f aca="false">G16*Assumptions!$F$28</f>
        <v>29776.5543563711</v>
      </c>
      <c r="H20" s="23" t="n">
        <f aca="false">H16*Assumptions!$G$28</f>
        <v>31512.7335518019</v>
      </c>
    </row>
    <row r="21" customFormat="false" ht="15" hidden="false" customHeight="false" outlineLevel="0" collapsed="false">
      <c r="A21" s="12" t="s">
        <v>214</v>
      </c>
      <c r="C21" s="36" t="n">
        <f aca="false">C18-C19-C20</f>
        <v>9285</v>
      </c>
      <c r="D21" s="36" t="n">
        <f aca="false">D18-D19-D20</f>
        <v>10187.0514000768</v>
      </c>
      <c r="E21" s="36" t="n">
        <f aca="false">E18-E19-E20</f>
        <v>11089.2910971327</v>
      </c>
      <c r="F21" s="36" t="n">
        <f aca="false">F18-F19-F20</f>
        <v>11791.9768643889</v>
      </c>
      <c r="G21" s="36" t="n">
        <f aca="false">G18-G19-G20</f>
        <v>12476.8011946174</v>
      </c>
      <c r="H21" s="36" t="n">
        <f aca="false">H18-H19-H20</f>
        <v>13165.2184775278</v>
      </c>
    </row>
    <row r="22" customFormat="false" ht="15" hidden="false" customHeight="false" outlineLevel="0" collapsed="false">
      <c r="A22" s="6" t="s">
        <v>56</v>
      </c>
      <c r="C22" s="31" t="n">
        <f aca="false">Historicals!$G$14</f>
        <v>169</v>
      </c>
      <c r="D22" s="31" t="n">
        <f aca="false">Assumptions!$C$52</f>
        <v>169</v>
      </c>
      <c r="E22" s="31" t="n">
        <f aca="false">Assumptions!$D$52</f>
        <v>169</v>
      </c>
      <c r="F22" s="31" t="n">
        <f aca="false">Assumptions!$E$52</f>
        <v>169</v>
      </c>
      <c r="G22" s="31" t="n">
        <f aca="false">Assumptions!$F$52</f>
        <v>169</v>
      </c>
      <c r="H22" s="31" t="n">
        <f aca="false">Assumptions!$G$52</f>
        <v>169</v>
      </c>
    </row>
    <row r="23" customFormat="false" ht="15" hidden="false" customHeight="false" outlineLevel="0" collapsed="false">
      <c r="A23" s="6" t="s">
        <v>215</v>
      </c>
      <c r="C23" s="31" t="n">
        <f aca="false">Historicals!$G$15</f>
        <v>624</v>
      </c>
      <c r="D23" s="23" t="n">
        <f aca="false">Assumptions!$C$53*(C33+C34)</f>
        <v>390.04</v>
      </c>
      <c r="E23" s="23" t="n">
        <f aca="false">Assumptions!$D$53*(D33+D34)</f>
        <v>500.38140495819</v>
      </c>
      <c r="F23" s="23" t="n">
        <f aca="false">Assumptions!$E$53*(E33+E34)</f>
        <v>602.119881417475</v>
      </c>
      <c r="G23" s="23" t="n">
        <f aca="false">Assumptions!$F$53*(F33+F34)</f>
        <v>750.104164033554</v>
      </c>
      <c r="H23" s="23" t="n">
        <f aca="false">Assumptions!$G$53*(G33+G34)</f>
        <v>909.689373580462</v>
      </c>
    </row>
    <row r="24" customFormat="false" ht="15" hidden="false" customHeight="false" outlineLevel="0" collapsed="false">
      <c r="A24" s="6" t="s">
        <v>216</v>
      </c>
      <c r="C24" s="23" t="n">
        <f aca="false">C21-C22+C23</f>
        <v>9740</v>
      </c>
      <c r="D24" s="23" t="n">
        <f aca="false">D21-D22+D23</f>
        <v>10408.0914000768</v>
      </c>
      <c r="E24" s="23" t="n">
        <f aca="false">E21-E22+E23</f>
        <v>11420.6725020909</v>
      </c>
      <c r="F24" s="23" t="n">
        <f aca="false">F21-F22+F23</f>
        <v>12225.0967458063</v>
      </c>
      <c r="G24" s="23" t="n">
        <f aca="false">G21-G22+G23</f>
        <v>13057.9053586509</v>
      </c>
      <c r="H24" s="23" t="n">
        <f aca="false">H21-H22+H23</f>
        <v>13905.9078511083</v>
      </c>
    </row>
    <row r="25" customFormat="false" ht="15" hidden="false" customHeight="false" outlineLevel="0" collapsed="false">
      <c r="A25" s="6" t="s">
        <v>217</v>
      </c>
      <c r="C25" s="31" t="n">
        <f aca="false">Historicals!$G$17</f>
        <v>2373</v>
      </c>
      <c r="D25" s="23" t="n">
        <f aca="false">D24*Assumptions!$C$40</f>
        <v>2706.10376401996</v>
      </c>
      <c r="E25" s="23" t="n">
        <f aca="false">E24*Assumptions!$D$40</f>
        <v>2969.37485054364</v>
      </c>
      <c r="F25" s="23" t="n">
        <f aca="false">F24*Assumptions!$E$40</f>
        <v>3178.52515390965</v>
      </c>
      <c r="G25" s="23" t="n">
        <f aca="false">G24*Assumptions!$F$40</f>
        <v>3395.05539324925</v>
      </c>
      <c r="H25" s="23" t="n">
        <f aca="false">H24*Assumptions!$G$40</f>
        <v>3615.53604128815</v>
      </c>
    </row>
    <row r="26" customFormat="false" ht="15" hidden="false" customHeight="false" outlineLevel="0" collapsed="false">
      <c r="A26" s="12" t="s">
        <v>218</v>
      </c>
      <c r="C26" s="37" t="n">
        <f aca="false">Historicals!$G$20</f>
        <v>7367</v>
      </c>
      <c r="D26" s="36" t="n">
        <f aca="false">D24-D25</f>
        <v>7701.9876360568</v>
      </c>
      <c r="E26" s="36" t="n">
        <f aca="false">E24-E25</f>
        <v>8451.29765154727</v>
      </c>
      <c r="F26" s="36" t="n">
        <f aca="false">F24-F25</f>
        <v>9046.57159189669</v>
      </c>
      <c r="G26" s="36" t="n">
        <f aca="false">G24-G25</f>
        <v>9662.8499654017</v>
      </c>
      <c r="H26" s="36" t="n">
        <f aca="false">H24-H25</f>
        <v>10290.3718098201</v>
      </c>
    </row>
    <row r="27" customFormat="false" ht="15" hidden="false" customHeight="false" outlineLevel="0" collapsed="false">
      <c r="A27" s="6" t="s">
        <v>219</v>
      </c>
      <c r="C27" s="33" t="n">
        <f aca="false">Historicals!$G$24</f>
        <v>444.759</v>
      </c>
      <c r="D27" s="33" t="n">
        <f aca="false">Assumptions!$C$57</f>
        <v>444.9</v>
      </c>
      <c r="E27" s="33" t="n">
        <f aca="false">Assumptions!$D$57</f>
        <v>444.9</v>
      </c>
      <c r="F27" s="33" t="n">
        <f aca="false">Assumptions!$E$57</f>
        <v>444.9</v>
      </c>
      <c r="G27" s="33" t="n">
        <f aca="false">Assumptions!$F$57</f>
        <v>444.9</v>
      </c>
      <c r="H27" s="33" t="n">
        <f aca="false">Assumptions!$G$57</f>
        <v>444.9</v>
      </c>
    </row>
    <row r="28" customFormat="false" ht="15" hidden="false" customHeight="false" outlineLevel="0" collapsed="false">
      <c r="A28" s="6" t="s">
        <v>220</v>
      </c>
      <c r="C28" s="38" t="n">
        <f aca="false">Historicals!$G$22</f>
        <v>16.56</v>
      </c>
      <c r="D28" s="35" t="n">
        <f aca="false">D26/D27</f>
        <v>17.311727660276</v>
      </c>
      <c r="E28" s="35" t="n">
        <f aca="false">E26/E27</f>
        <v>18.9959488683913</v>
      </c>
      <c r="F28" s="35" t="n">
        <f aca="false">F26/F27</f>
        <v>20.3339437893834</v>
      </c>
      <c r="G28" s="35" t="n">
        <f aca="false">G26/G27</f>
        <v>21.7191502931034</v>
      </c>
      <c r="H28" s="35" t="n">
        <f aca="false">H26/H27</f>
        <v>23.129628702675</v>
      </c>
    </row>
    <row r="29" customFormat="false" ht="15" hidden="false" customHeight="false" outlineLevel="0" collapsed="false">
      <c r="A29" s="6" t="s">
        <v>221</v>
      </c>
      <c r="C29" s="31" t="n">
        <f aca="false">Historicals!$G$56</f>
        <v>2237</v>
      </c>
      <c r="D29" s="23" t="n">
        <f aca="false">Assumptions!$C$41*C38</f>
        <v>2438.688</v>
      </c>
      <c r="E29" s="23" t="n">
        <f aca="false">Assumptions!$D$41*D38</f>
        <v>2653.838208</v>
      </c>
      <c r="F29" s="23" t="n">
        <f aca="false">Assumptions!$E$41*E38</f>
        <v>2886.38031152918</v>
      </c>
      <c r="G29" s="23" t="n">
        <f aca="false">Assumptions!$F$41*F38</f>
        <v>3128.72414507718</v>
      </c>
      <c r="H29" s="23" t="n">
        <f aca="false">Assumptions!$G$41*G38</f>
        <v>3379.21174085305</v>
      </c>
    </row>
    <row r="30" customFormat="false" ht="15" hidden="false" customHeight="false" outlineLevel="0" collapsed="false">
      <c r="A30" s="6" t="s">
        <v>222</v>
      </c>
      <c r="C30" s="23" t="n">
        <f aca="false">C21+C29</f>
        <v>11522</v>
      </c>
      <c r="D30" s="23" t="n">
        <f aca="false">D21+D29</f>
        <v>12625.7394000768</v>
      </c>
      <c r="E30" s="23" t="n">
        <f aca="false">E21+E29</f>
        <v>13743.1293051327</v>
      </c>
      <c r="F30" s="23" t="n">
        <f aca="false">F21+F29</f>
        <v>14678.357175918</v>
      </c>
      <c r="G30" s="23" t="n">
        <f aca="false">G21+G29</f>
        <v>15605.5253396946</v>
      </c>
      <c r="H30" s="23" t="n">
        <f aca="false">H21+H29</f>
        <v>16544.4302183808</v>
      </c>
    </row>
    <row r="31" customFormat="false" ht="15" hidden="false" customHeight="false" outlineLevel="0" collapsed="false">
      <c r="A31" s="6" t="s">
        <v>126</v>
      </c>
      <c r="C31" s="22" t="n">
        <f aca="false">C21/C18</f>
        <v>0.0364900394178886</v>
      </c>
      <c r="D31" s="22" t="n">
        <f aca="false">D21/D18</f>
        <v>0.037218165638608</v>
      </c>
      <c r="E31" s="22" t="n">
        <f aca="false">E21/E18</f>
        <v>0.0378355675865787</v>
      </c>
      <c r="F31" s="22" t="n">
        <f aca="false">F21/F18</f>
        <v>0.0377985568763625</v>
      </c>
      <c r="G31" s="22" t="n">
        <f aca="false">G21/G18</f>
        <v>0.0377731015820426</v>
      </c>
      <c r="H31" s="22" t="n">
        <f aca="false">H21/H18</f>
        <v>0.0376655543760282</v>
      </c>
    </row>
    <row r="32" customFormat="false" ht="15" hidden="false" customHeight="false" outlineLevel="0" collapsed="false">
      <c r="A32" s="4" t="s">
        <v>67</v>
      </c>
      <c r="B32" s="5"/>
      <c r="C32" s="5"/>
      <c r="D32" s="5"/>
      <c r="E32" s="5"/>
      <c r="F32" s="5"/>
      <c r="G32" s="5"/>
      <c r="H32" s="5"/>
    </row>
    <row r="33" customFormat="false" ht="15" hidden="false" customHeight="false" outlineLevel="0" collapsed="false">
      <c r="A33" s="6" t="s">
        <v>68</v>
      </c>
      <c r="C33" s="31" t="n">
        <f aca="false">Historicals!$G$27</f>
        <v>9906</v>
      </c>
      <c r="D33" s="23" t="n">
        <f aca="false">C33+D67</f>
        <v>14158.3509217904</v>
      </c>
      <c r="E33" s="23" t="n">
        <f aca="false">D33+E67</f>
        <v>18832.6627139158</v>
      </c>
      <c r="F33" s="23" t="n">
        <f aca="false">E33+F67</f>
        <v>23765.4721344518</v>
      </c>
      <c r="G33" s="23" t="n">
        <f aca="false">F33+G67</f>
        <v>29084.9791193487</v>
      </c>
      <c r="H33" s="23" t="n">
        <f aca="false">G33+H67</f>
        <v>34846.293208459</v>
      </c>
    </row>
    <row r="34" customFormat="false" ht="15" hidden="false" customHeight="false" outlineLevel="0" collapsed="false">
      <c r="A34" s="6" t="s">
        <v>69</v>
      </c>
      <c r="C34" s="31" t="n">
        <f aca="false">Historicals!$G$28</f>
        <v>1238</v>
      </c>
      <c r="D34" s="23" t="n">
        <f aca="false">C34</f>
        <v>1238</v>
      </c>
      <c r="E34" s="23" t="n">
        <f aca="false">D34</f>
        <v>1238</v>
      </c>
      <c r="F34" s="23" t="n">
        <f aca="false">E34</f>
        <v>1238</v>
      </c>
      <c r="G34" s="23" t="n">
        <f aca="false">F34</f>
        <v>1238</v>
      </c>
      <c r="H34" s="23" t="n">
        <f aca="false">G34</f>
        <v>1238</v>
      </c>
    </row>
    <row r="35" customFormat="false" ht="15" hidden="false" customHeight="false" outlineLevel="0" collapsed="false">
      <c r="A35" s="6" t="s">
        <v>223</v>
      </c>
      <c r="C35" s="31" t="n">
        <f aca="false">Historicals!$G$29</f>
        <v>2721</v>
      </c>
      <c r="D35" s="23" t="n">
        <f aca="false">Assumptions!$C$44*D18</f>
        <v>2925.97922542036</v>
      </c>
      <c r="E35" s="23" t="n">
        <f aca="false">Assumptions!$D$44*E18</f>
        <v>3133.15035005315</v>
      </c>
      <c r="F35" s="23" t="n">
        <f aca="false">Assumptions!$E$44*F18</f>
        <v>3334.94829161446</v>
      </c>
      <c r="G35" s="23" t="n">
        <f aca="false">Assumptions!$F$44*G18</f>
        <v>3531.00484694822</v>
      </c>
      <c r="H35" s="23" t="n">
        <f aca="false">Assumptions!$G$44*H18</f>
        <v>3736.46924507613</v>
      </c>
    </row>
    <row r="36" customFormat="false" ht="15" hidden="false" customHeight="false" outlineLevel="0" collapsed="false">
      <c r="A36" s="6" t="s">
        <v>71</v>
      </c>
      <c r="C36" s="31" t="n">
        <f aca="false">Historicals!$G$30</f>
        <v>18647</v>
      </c>
      <c r="D36" s="23" t="n">
        <f aca="false">Assumptions!$C$45*D18</f>
        <v>20057.6012758469</v>
      </c>
      <c r="E36" s="23" t="n">
        <f aca="false">Assumptions!$D$45*E18</f>
        <v>21477.7603041997</v>
      </c>
      <c r="F36" s="23" t="n">
        <f aca="false">Assumptions!$E$45*F18</f>
        <v>22861.0861374656</v>
      </c>
      <c r="G36" s="23" t="n">
        <f aca="false">Assumptions!$F$45*G18</f>
        <v>24205.0547412877</v>
      </c>
      <c r="H36" s="23" t="n">
        <f aca="false">Assumptions!$G$45*H18</f>
        <v>25613.5141514667</v>
      </c>
    </row>
    <row r="37" customFormat="false" ht="15" hidden="false" customHeight="false" outlineLevel="0" collapsed="false">
      <c r="A37" s="6" t="s">
        <v>72</v>
      </c>
      <c r="C37" s="31" t="n">
        <f aca="false">Historicals!$G$31</f>
        <v>1734</v>
      </c>
      <c r="D37" s="23" t="n">
        <f aca="false">Assumptions!$C$46*D18</f>
        <v>1863.97741114243</v>
      </c>
      <c r="E37" s="23" t="n">
        <f aca="false">Assumptions!$D$46*E18</f>
        <v>1995.95452608625</v>
      </c>
      <c r="F37" s="23" t="n">
        <f aca="false">Assumptions!$E$46*F18</f>
        <v>2124.50868717441</v>
      </c>
      <c r="G37" s="23" t="n">
        <f aca="false">Assumptions!$F$46*G18</f>
        <v>2249.40533280799</v>
      </c>
      <c r="H37" s="23" t="n">
        <f aca="false">Assumptions!$G$46*H18</f>
        <v>2380.2951879297</v>
      </c>
    </row>
    <row r="38" customFormat="false" ht="15" hidden="false" customHeight="false" outlineLevel="0" collapsed="false">
      <c r="A38" s="6" t="s">
        <v>74</v>
      </c>
      <c r="C38" s="31" t="n">
        <f aca="false">Historicals!$G$33</f>
        <v>29032</v>
      </c>
      <c r="D38" s="23" t="n">
        <f aca="false">C38+D62-D29</f>
        <v>31593.312</v>
      </c>
      <c r="E38" s="23" t="n">
        <f aca="false">D38+E62-E29</f>
        <v>34361.6703753474</v>
      </c>
      <c r="F38" s="23" t="n">
        <f aca="false">E38+F62-F29</f>
        <v>37246.7160128236</v>
      </c>
      <c r="G38" s="23" t="n">
        <f aca="false">F38+G62-G29</f>
        <v>40228.7112006315</v>
      </c>
      <c r="H38" s="23" t="n">
        <f aca="false">G38+H62-H29</f>
        <v>43315.793288956</v>
      </c>
    </row>
    <row r="39" customFormat="false" ht="15" hidden="false" customHeight="false" outlineLevel="0" collapsed="false">
      <c r="A39" s="6" t="s">
        <v>224</v>
      </c>
      <c r="C39" s="31" t="n">
        <f aca="false">Historicals!$G$34</f>
        <v>2617</v>
      </c>
      <c r="D39" s="23" t="n">
        <f aca="false">C39</f>
        <v>2617</v>
      </c>
      <c r="E39" s="23" t="n">
        <f aca="false">D39</f>
        <v>2617</v>
      </c>
      <c r="F39" s="23" t="n">
        <f aca="false">E39</f>
        <v>2617</v>
      </c>
      <c r="G39" s="23" t="n">
        <f aca="false">F39</f>
        <v>2617</v>
      </c>
      <c r="H39" s="23" t="n">
        <f aca="false">G39</f>
        <v>2617</v>
      </c>
    </row>
    <row r="40" customFormat="false" ht="15" hidden="false" customHeight="false" outlineLevel="0" collapsed="false">
      <c r="A40" s="6" t="s">
        <v>76</v>
      </c>
      <c r="C40" s="31" t="n">
        <f aca="false">Historicals!$G$35</f>
        <v>3936</v>
      </c>
      <c r="D40" s="23" t="n">
        <f aca="false">C40</f>
        <v>3936</v>
      </c>
      <c r="E40" s="23" t="n">
        <f aca="false">D40</f>
        <v>3936</v>
      </c>
      <c r="F40" s="23" t="n">
        <f aca="false">E40</f>
        <v>3936</v>
      </c>
      <c r="G40" s="23" t="n">
        <f aca="false">F40</f>
        <v>3936</v>
      </c>
      <c r="H40" s="23" t="n">
        <f aca="false">G40</f>
        <v>3936</v>
      </c>
    </row>
    <row r="41" customFormat="false" ht="15" hidden="false" customHeight="false" outlineLevel="0" collapsed="false">
      <c r="A41" s="12" t="s">
        <v>77</v>
      </c>
      <c r="C41" s="36" t="n">
        <f aca="false">SUM(C33:C40)</f>
        <v>69831</v>
      </c>
      <c r="D41" s="36" t="n">
        <f aca="false">SUM(D33:D40)</f>
        <v>78390.2208342002</v>
      </c>
      <c r="E41" s="36" t="n">
        <f aca="false">SUM(E33:E40)</f>
        <v>87592.1982696023</v>
      </c>
      <c r="F41" s="36" t="n">
        <f aca="false">SUM(F33:F40)</f>
        <v>97123.7312635298</v>
      </c>
      <c r="G41" s="36" t="n">
        <f aca="false">SUM(G33:G40)</f>
        <v>107090.155241024</v>
      </c>
      <c r="H41" s="36" t="n">
        <f aca="false">SUM(H33:H40)</f>
        <v>117683.365081888</v>
      </c>
    </row>
    <row r="42" customFormat="false" ht="15" hidden="false" customHeight="false" outlineLevel="0" collapsed="false">
      <c r="A42" s="6" t="s">
        <v>78</v>
      </c>
      <c r="C42" s="31" t="n">
        <f aca="false">Historicals!$G$37</f>
        <v>19421</v>
      </c>
      <c r="D42" s="23" t="n">
        <f aca="false">Assumptions!$C$47*D18</f>
        <v>20889.6851715698</v>
      </c>
      <c r="E42" s="23" t="n">
        <f aca="false">Assumptions!$D$47*E18</f>
        <v>22368.7590941119</v>
      </c>
      <c r="F42" s="23" t="n">
        <f aca="false">Assumptions!$E$47*F18</f>
        <v>23809.4718069238</v>
      </c>
      <c r="G42" s="23" t="n">
        <f aca="false">Assumptions!$F$47*G18</f>
        <v>25209.1945667996</v>
      </c>
      <c r="H42" s="23" t="n">
        <f aca="false">Assumptions!$G$47*H18</f>
        <v>26676.0835158288</v>
      </c>
    </row>
    <row r="43" customFormat="false" ht="15" hidden="false" customHeight="false" outlineLevel="0" collapsed="false">
      <c r="A43" s="6" t="s">
        <v>79</v>
      </c>
      <c r="C43" s="31" t="n">
        <f aca="false">Historicals!$G$38</f>
        <v>4794</v>
      </c>
      <c r="D43" s="23" t="n">
        <f aca="false">Assumptions!$C$48*D18</f>
        <v>5156.7304590196</v>
      </c>
      <c r="E43" s="23" t="n">
        <f aca="false">Assumptions!$D$48*E18</f>
        <v>5521.84776379807</v>
      </c>
      <c r="F43" s="23" t="n">
        <f aca="false">Assumptions!$E$48*F18</f>
        <v>5877.49539887899</v>
      </c>
      <c r="G43" s="23" t="n">
        <f aca="false">Assumptions!$F$48*G18</f>
        <v>6223.02444494897</v>
      </c>
      <c r="H43" s="23" t="n">
        <f aca="false">Assumptions!$G$48*H18</f>
        <v>6585.13382387599</v>
      </c>
    </row>
    <row r="44" customFormat="false" ht="15" hidden="false" customHeight="false" outlineLevel="0" collapsed="false">
      <c r="A44" s="6" t="s">
        <v>80</v>
      </c>
      <c r="C44" s="31" t="n">
        <f aca="false">Historicals!$G$39</f>
        <v>2435</v>
      </c>
      <c r="D44" s="23" t="n">
        <f aca="false">Assumptions!$C$49*D18</f>
        <v>2619.42200068034</v>
      </c>
      <c r="E44" s="23" t="n">
        <f aca="false">Assumptions!$D$49*E18</f>
        <v>2804.88763798023</v>
      </c>
      <c r="F44" s="23" t="n">
        <f aca="false">Assumptions!$E$49*F18</f>
        <v>2985.54304497197</v>
      </c>
      <c r="G44" s="23" t="n">
        <f aca="false">Assumptions!$F$49*G18</f>
        <v>3161.05859544382</v>
      </c>
      <c r="H44" s="23" t="n">
        <f aca="false">Assumptions!$G$49*H18</f>
        <v>3344.99632136376</v>
      </c>
    </row>
    <row r="45" customFormat="false" ht="15" hidden="false" customHeight="false" outlineLevel="0" collapsed="false">
      <c r="A45" s="6" t="s">
        <v>83</v>
      </c>
      <c r="C45" s="31" t="n">
        <f aca="false">Historicals!$G$42</f>
        <v>6210</v>
      </c>
      <c r="D45" s="23" t="n">
        <f aca="false">Assumptions!$C$50*D18</f>
        <v>6681.30522848558</v>
      </c>
      <c r="E45" s="23" t="n">
        <f aca="false">Assumptions!$D$50*E18</f>
        <v>7154.36857294644</v>
      </c>
      <c r="F45" s="23" t="n">
        <f aca="false">Assumptions!$E$50*F18</f>
        <v>7615.16256298493</v>
      </c>
      <c r="G45" s="23" t="n">
        <f aca="false">Assumptions!$F$50*G18</f>
        <v>8062.84642787708</v>
      </c>
      <c r="H45" s="23" t="n">
        <f aca="false">Assumptions!$G$50*H18</f>
        <v>8532.0125605527</v>
      </c>
    </row>
    <row r="46" customFormat="false" ht="15" hidden="false" customHeight="false" outlineLevel="0" collapsed="false">
      <c r="A46" s="6" t="s">
        <v>81</v>
      </c>
      <c r="C46" s="31" t="n">
        <f aca="false">Historicals!$G$40</f>
        <v>2501</v>
      </c>
      <c r="D46" s="23" t="n">
        <f aca="false">Assumptions!$C$51*D17</f>
        <v>2774.74921515186</v>
      </c>
      <c r="E46" s="23" t="n">
        <f aca="false">Assumptions!$D$51*E17</f>
        <v>3066.66569277768</v>
      </c>
      <c r="F46" s="23" t="n">
        <f aca="false">Assumptions!$E$51*F17</f>
        <v>3258.09097500482</v>
      </c>
      <c r="G46" s="23" t="n">
        <f aca="false">Assumptions!$F$51*G17</f>
        <v>3445.19396643349</v>
      </c>
      <c r="H46" s="23" t="n">
        <f aca="false">Assumptions!$G$51*H17</f>
        <v>3625.83613182678</v>
      </c>
    </row>
    <row r="47" customFormat="false" ht="15" hidden="false" customHeight="false" outlineLevel="0" collapsed="false">
      <c r="A47" s="6" t="s">
        <v>82</v>
      </c>
      <c r="C47" s="31" t="n">
        <f aca="false">Historicals!$G$41</f>
        <v>103</v>
      </c>
      <c r="D47" s="23" t="n">
        <f aca="false">C47</f>
        <v>103</v>
      </c>
      <c r="E47" s="23" t="n">
        <f aca="false">D47</f>
        <v>103</v>
      </c>
      <c r="F47" s="23" t="n">
        <f aca="false">E47</f>
        <v>103</v>
      </c>
      <c r="G47" s="23" t="n">
        <f aca="false">F47</f>
        <v>103</v>
      </c>
      <c r="H47" s="23" t="n">
        <f aca="false">G47</f>
        <v>103</v>
      </c>
    </row>
    <row r="48" customFormat="false" ht="15" hidden="false" customHeight="false" outlineLevel="0" collapsed="false">
      <c r="A48" s="6" t="s">
        <v>225</v>
      </c>
      <c r="C48" s="31" t="n">
        <f aca="false">Historicals!$G$44</f>
        <v>5794</v>
      </c>
      <c r="D48" s="23" t="n">
        <f aca="false">C48</f>
        <v>5794</v>
      </c>
      <c r="E48" s="23" t="n">
        <f aca="false">D48</f>
        <v>5794</v>
      </c>
      <c r="F48" s="23" t="n">
        <f aca="false">E48</f>
        <v>5794</v>
      </c>
      <c r="G48" s="23" t="n">
        <f aca="false">F48</f>
        <v>5794</v>
      </c>
      <c r="H48" s="23" t="n">
        <f aca="false">G48</f>
        <v>5794</v>
      </c>
    </row>
    <row r="49" customFormat="false" ht="15" hidden="false" customHeight="false" outlineLevel="0" collapsed="false">
      <c r="A49" s="6" t="s">
        <v>86</v>
      </c>
      <c r="C49" s="31" t="n">
        <f aca="false">Historicals!$G$45</f>
        <v>2375</v>
      </c>
      <c r="D49" s="23" t="n">
        <f aca="false">C49</f>
        <v>2375</v>
      </c>
      <c r="E49" s="23" t="n">
        <f aca="false">D49</f>
        <v>2375</v>
      </c>
      <c r="F49" s="23" t="n">
        <f aca="false">E49</f>
        <v>2375</v>
      </c>
      <c r="G49" s="23" t="n">
        <f aca="false">F49</f>
        <v>2375</v>
      </c>
      <c r="H49" s="23" t="n">
        <f aca="false">G49</f>
        <v>2375</v>
      </c>
    </row>
    <row r="50" customFormat="false" ht="15" hidden="false" customHeight="false" outlineLevel="0" collapsed="false">
      <c r="A50" s="6" t="s">
        <v>87</v>
      </c>
      <c r="C50" s="31" t="n">
        <f aca="false">Historicals!$G$46</f>
        <v>2576</v>
      </c>
      <c r="D50" s="23" t="n">
        <f aca="false">C50</f>
        <v>2576</v>
      </c>
      <c r="E50" s="23" t="n">
        <f aca="false">D50</f>
        <v>2576</v>
      </c>
      <c r="F50" s="23" t="n">
        <f aca="false">E50</f>
        <v>2576</v>
      </c>
      <c r="G50" s="23" t="n">
        <f aca="false">F50</f>
        <v>2576</v>
      </c>
      <c r="H50" s="23" t="n">
        <f aca="false">G50</f>
        <v>2576</v>
      </c>
    </row>
    <row r="51" customFormat="false" ht="15" hidden="false" customHeight="false" outlineLevel="0" collapsed="false">
      <c r="A51" s="12" t="s">
        <v>88</v>
      </c>
      <c r="C51" s="36" t="n">
        <f aca="false">SUM(C42:C50)</f>
        <v>46209</v>
      </c>
      <c r="D51" s="36" t="n">
        <f aca="false">SUM(D42:D50)</f>
        <v>48969.8920749072</v>
      </c>
      <c r="E51" s="36" t="n">
        <f aca="false">SUM(E42:E50)</f>
        <v>51764.5287616144</v>
      </c>
      <c r="F51" s="36" t="n">
        <f aca="false">SUM(F42:F50)</f>
        <v>54393.7637887645</v>
      </c>
      <c r="G51" s="36" t="n">
        <f aca="false">SUM(G42:G50)</f>
        <v>56949.318001503</v>
      </c>
      <c r="H51" s="36" t="n">
        <f aca="false">SUM(H42:H50)</f>
        <v>59612.0623534481</v>
      </c>
    </row>
    <row r="52" customFormat="false" ht="15" hidden="false" customHeight="false" outlineLevel="0" collapsed="false">
      <c r="A52" s="6" t="s">
        <v>91</v>
      </c>
      <c r="C52" s="31" t="n">
        <f aca="false">Historicals!$G$50</f>
        <v>23622</v>
      </c>
      <c r="D52" s="23" t="n">
        <f aca="false">C52+D26+D59-D64-D65</f>
        <v>29420.328759293</v>
      </c>
      <c r="E52" s="23" t="n">
        <f aca="false">D52+E26+E59-E64-E65</f>
        <v>35827.6695079879</v>
      </c>
      <c r="F52" s="23" t="n">
        <f aca="false">E52+F26+F59-F64-F65</f>
        <v>42729.9674747654</v>
      </c>
      <c r="G52" s="23" t="n">
        <f aca="false">F52+G26+G59-G64-G65</f>
        <v>50140.8372395212</v>
      </c>
      <c r="H52" s="23" t="n">
        <f aca="false">G52+H26+H59-H64-H65</f>
        <v>58071.3027284395</v>
      </c>
    </row>
    <row r="53" customFormat="false" ht="15" hidden="false" customHeight="false" outlineLevel="0" collapsed="false">
      <c r="A53" s="12" t="s">
        <v>92</v>
      </c>
      <c r="C53" s="36" t="n">
        <f aca="false">C51+C52</f>
        <v>69831</v>
      </c>
      <c r="D53" s="36" t="n">
        <f aca="false">D51+D52</f>
        <v>78390.2208342002</v>
      </c>
      <c r="E53" s="36" t="n">
        <f aca="false">E51+E52</f>
        <v>87592.1982696023</v>
      </c>
      <c r="F53" s="36" t="n">
        <f aca="false">F51+F52</f>
        <v>97123.7312635298</v>
      </c>
      <c r="G53" s="36" t="n">
        <f aca="false">G51+G52</f>
        <v>107090.155241024</v>
      </c>
      <c r="H53" s="36" t="n">
        <f aca="false">H51+H52</f>
        <v>117683.365081888</v>
      </c>
    </row>
    <row r="54" customFormat="false" ht="15" hidden="false" customHeight="false" outlineLevel="0" collapsed="false">
      <c r="A54" s="6" t="s">
        <v>226</v>
      </c>
      <c r="C54" s="39" t="n">
        <f aca="false">ROUND(C41-C53,3)</f>
        <v>0</v>
      </c>
      <c r="D54" s="39" t="n">
        <f aca="false">ROUND(D41-D53,3)</f>
        <v>0</v>
      </c>
      <c r="E54" s="39" t="n">
        <f aca="false">ROUND(E41-E53,3)</f>
        <v>0</v>
      </c>
      <c r="F54" s="39" t="n">
        <f aca="false">ROUND(F41-F53,3)</f>
        <v>0</v>
      </c>
      <c r="G54" s="39" t="n">
        <f aca="false">ROUND(G41-G53,3)</f>
        <v>0</v>
      </c>
      <c r="H54" s="39" t="n">
        <f aca="false">ROUND(H41-H53,3)</f>
        <v>0</v>
      </c>
    </row>
    <row r="55" customFormat="false" ht="15" hidden="false" customHeight="false" outlineLevel="0" collapsed="false">
      <c r="A55" s="6" t="s">
        <v>227</v>
      </c>
      <c r="C55" s="23" t="n">
        <f aca="false">SUM(C35:C37)-SUM(C42:C46)</f>
        <v>-12259</v>
      </c>
      <c r="D55" s="23" t="n">
        <f aca="false">SUM(D35:D37)-SUM(D42:D46)</f>
        <v>-13274.3341624975</v>
      </c>
      <c r="E55" s="23" t="n">
        <f aca="false">SUM(E35:E37)-SUM(E42:E46)</f>
        <v>-14309.6635812752</v>
      </c>
      <c r="F55" s="23" t="n">
        <f aca="false">SUM(F35:F37)-SUM(F42:F46)</f>
        <v>-15225.22067251</v>
      </c>
      <c r="G55" s="23" t="n">
        <f aca="false">SUM(G35:G37)-SUM(G42:G46)</f>
        <v>-16115.8530804591</v>
      </c>
      <c r="H55" s="23" t="n">
        <f aca="false">SUM(H35:H37)-SUM(H42:H46)</f>
        <v>-17033.7837689756</v>
      </c>
    </row>
    <row r="56" customFormat="false" ht="15" hidden="false" customHeight="false" outlineLevel="0" collapsed="false">
      <c r="A56" s="4" t="s">
        <v>228</v>
      </c>
      <c r="B56" s="5"/>
      <c r="C56" s="5"/>
      <c r="D56" s="5"/>
      <c r="E56" s="5"/>
      <c r="F56" s="5"/>
      <c r="G56" s="5"/>
      <c r="H56" s="5"/>
    </row>
    <row r="57" customFormat="false" ht="15" hidden="false" customHeight="false" outlineLevel="0" collapsed="false">
      <c r="A57" s="6" t="s">
        <v>218</v>
      </c>
      <c r="D57" s="23" t="n">
        <f aca="false">D26</f>
        <v>7701.9876360568</v>
      </c>
      <c r="E57" s="23" t="n">
        <f aca="false">E26</f>
        <v>8451.29765154727</v>
      </c>
      <c r="F57" s="23" t="n">
        <f aca="false">F26</f>
        <v>9046.57159189669</v>
      </c>
      <c r="G57" s="23" t="n">
        <f aca="false">G26</f>
        <v>9662.8499654017</v>
      </c>
      <c r="H57" s="23" t="n">
        <f aca="false">H26</f>
        <v>10290.3718098201</v>
      </c>
    </row>
    <row r="58" customFormat="false" ht="15" hidden="false" customHeight="false" outlineLevel="0" collapsed="false">
      <c r="A58" s="6" t="s">
        <v>229</v>
      </c>
      <c r="D58" s="23" t="n">
        <f aca="false">D29</f>
        <v>2438.688</v>
      </c>
      <c r="E58" s="23" t="n">
        <f aca="false">E29</f>
        <v>2653.838208</v>
      </c>
      <c r="F58" s="23" t="n">
        <f aca="false">F29</f>
        <v>2886.38031152918</v>
      </c>
      <c r="G58" s="23" t="n">
        <f aca="false">G29</f>
        <v>3128.72414507718</v>
      </c>
      <c r="H58" s="23" t="n">
        <f aca="false">H29</f>
        <v>3379.21174085305</v>
      </c>
    </row>
    <row r="59" customFormat="false" ht="15" hidden="false" customHeight="false" outlineLevel="0" collapsed="false">
      <c r="A59" s="6" t="s">
        <v>97</v>
      </c>
      <c r="C59" s="31" t="n">
        <f aca="false">Historicals!$G$57</f>
        <v>818</v>
      </c>
      <c r="D59" s="23" t="n">
        <f aca="false">Assumptions!$C$56*D18</f>
        <v>875.877784971482</v>
      </c>
      <c r="E59" s="23" t="n">
        <f aca="false">Assumptions!$D$56*E18</f>
        <v>937.89346306549</v>
      </c>
      <c r="F59" s="23" t="n">
        <f aca="false">Assumptions!$E$56*F18</f>
        <v>998.300704692822</v>
      </c>
      <c r="G59" s="23" t="n">
        <f aca="false">Assumptions!$F$56*G18</f>
        <v>1056.98929001256</v>
      </c>
      <c r="H59" s="23" t="n">
        <f aca="false">Assumptions!$G$56*H18</f>
        <v>1118.49406774964</v>
      </c>
    </row>
    <row r="60" customFormat="false" ht="15" hidden="false" customHeight="false" outlineLevel="0" collapsed="false">
      <c r="A60" s="6" t="s">
        <v>230</v>
      </c>
      <c r="D60" s="23" t="n">
        <f aca="false">-(D55-C55)</f>
        <v>1015.3341624975</v>
      </c>
      <c r="E60" s="23" t="n">
        <f aca="false">-(E55-D55)</f>
        <v>1035.32941877774</v>
      </c>
      <c r="F60" s="23" t="n">
        <f aca="false">-(F55-E55)</f>
        <v>915.557091234787</v>
      </c>
      <c r="G60" s="23" t="n">
        <f aca="false">-(G55-F55)</f>
        <v>890.632407949081</v>
      </c>
      <c r="H60" s="23" t="n">
        <f aca="false">-(H55-G55)</f>
        <v>917.930688516448</v>
      </c>
    </row>
    <row r="61" customFormat="false" ht="15" hidden="false" customHeight="false" outlineLevel="0" collapsed="false">
      <c r="A61" s="12" t="s">
        <v>231</v>
      </c>
      <c r="C61" s="37" t="n">
        <f aca="false">Historicals!$G$55</f>
        <v>11339</v>
      </c>
      <c r="D61" s="36" t="n">
        <f aca="false">D57+D58+D59+D60</f>
        <v>12031.8875835258</v>
      </c>
      <c r="E61" s="36" t="n">
        <f aca="false">E57+E58+E59+E60</f>
        <v>13078.3587413905</v>
      </c>
      <c r="F61" s="36" t="n">
        <f aca="false">F57+F58+F59+F60</f>
        <v>13846.8096993535</v>
      </c>
      <c r="G61" s="36" t="n">
        <f aca="false">G57+G58+G59+G60</f>
        <v>14739.1958084405</v>
      </c>
      <c r="H61" s="36" t="n">
        <f aca="false">H57+H58+H59+H60</f>
        <v>15706.0083069392</v>
      </c>
    </row>
    <row r="62" customFormat="false" ht="15" hidden="false" customHeight="false" outlineLevel="0" collapsed="false">
      <c r="A62" s="6" t="s">
        <v>232</v>
      </c>
      <c r="C62" s="31" t="n">
        <f aca="false">Historicals!$G$61</f>
        <v>4710</v>
      </c>
      <c r="D62" s="31" t="n">
        <f aca="false">Assumptions!$C$43</f>
        <v>5000</v>
      </c>
      <c r="E62" s="23" t="n">
        <f aca="false">Assumptions!$D$42*E18</f>
        <v>5422.19658334736</v>
      </c>
      <c r="F62" s="23" t="n">
        <f aca="false">Assumptions!$E$42*F18</f>
        <v>5771.42594900538</v>
      </c>
      <c r="G62" s="23" t="n">
        <f aca="false">Assumptions!$F$42*G18</f>
        <v>6110.71933288513</v>
      </c>
      <c r="H62" s="23" t="n">
        <f aca="false">Assumptions!$G$42*H18</f>
        <v>6466.29382917759</v>
      </c>
    </row>
    <row r="63" customFormat="false" ht="15" hidden="false" customHeight="false" outlineLevel="0" collapsed="false">
      <c r="A63" s="6" t="s">
        <v>233</v>
      </c>
      <c r="D63" s="23" t="n">
        <f aca="false">-D62</f>
        <v>-5000</v>
      </c>
      <c r="E63" s="23" t="n">
        <f aca="false">-E62</f>
        <v>-5422.19658334736</v>
      </c>
      <c r="F63" s="23" t="n">
        <f aca="false">-F62</f>
        <v>-5771.42594900538</v>
      </c>
      <c r="G63" s="23" t="n">
        <f aca="false">-G62</f>
        <v>-6110.71933288513</v>
      </c>
      <c r="H63" s="23" t="n">
        <f aca="false">-H62</f>
        <v>-6466.29382917759</v>
      </c>
    </row>
    <row r="64" customFormat="false" ht="15" hidden="false" customHeight="false" outlineLevel="0" collapsed="false">
      <c r="A64" s="6" t="s">
        <v>234</v>
      </c>
      <c r="C64" s="31" t="n">
        <f aca="false">Historicals!$G$63</f>
        <v>9041</v>
      </c>
      <c r="D64" s="23" t="n">
        <f aca="false">Assumptions!$C$54*D26</f>
        <v>2079.53666173534</v>
      </c>
      <c r="E64" s="23" t="n">
        <f aca="false">Assumptions!$D$54*E26</f>
        <v>2281.85036591776</v>
      </c>
      <c r="F64" s="23" t="n">
        <f aca="false">Assumptions!$E$54*F26</f>
        <v>2442.57432981211</v>
      </c>
      <c r="G64" s="23" t="n">
        <f aca="false">Assumptions!$F$54*G26</f>
        <v>2608.96949065846</v>
      </c>
      <c r="H64" s="23" t="n">
        <f aca="false">Assumptions!$G$54*H26</f>
        <v>2778.40038865143</v>
      </c>
    </row>
    <row r="65" customFormat="false" ht="15" hidden="false" customHeight="false" outlineLevel="0" collapsed="false">
      <c r="A65" s="6" t="s">
        <v>189</v>
      </c>
      <c r="C65" s="31" t="n">
        <f aca="false">Historicals!$G$64</f>
        <v>700</v>
      </c>
      <c r="D65" s="31" t="n">
        <f aca="false">Assumptions!$C$55</f>
        <v>700</v>
      </c>
      <c r="E65" s="31" t="n">
        <f aca="false">Assumptions!$D$55</f>
        <v>700</v>
      </c>
      <c r="F65" s="31" t="n">
        <f aca="false">Assumptions!$E$55</f>
        <v>700</v>
      </c>
      <c r="G65" s="31" t="n">
        <f aca="false">Assumptions!$F$55</f>
        <v>700</v>
      </c>
      <c r="H65" s="31" t="n">
        <f aca="false">Assumptions!$G$55</f>
        <v>700</v>
      </c>
    </row>
    <row r="66" customFormat="false" ht="15" hidden="false" customHeight="false" outlineLevel="0" collapsed="false">
      <c r="A66" s="6" t="s">
        <v>235</v>
      </c>
      <c r="D66" s="23" t="n">
        <f aca="false">-D64-D65</f>
        <v>-2779.53666173534</v>
      </c>
      <c r="E66" s="23" t="n">
        <f aca="false">-E64-E65</f>
        <v>-2981.85036591776</v>
      </c>
      <c r="F66" s="23" t="n">
        <f aca="false">-F64-F65</f>
        <v>-3142.57432981211</v>
      </c>
      <c r="G66" s="23" t="n">
        <f aca="false">-G64-G65</f>
        <v>-3308.96949065846</v>
      </c>
      <c r="H66" s="23" t="n">
        <f aca="false">-H64-H65</f>
        <v>-3478.40038865143</v>
      </c>
    </row>
    <row r="67" customFormat="false" ht="15" hidden="false" customHeight="false" outlineLevel="0" collapsed="false">
      <c r="A67" s="12" t="s">
        <v>236</v>
      </c>
      <c r="D67" s="36" t="n">
        <f aca="false">D61+D63+D66</f>
        <v>4252.35092179045</v>
      </c>
      <c r="E67" s="36" t="n">
        <f aca="false">E61+E63+E66</f>
        <v>4674.31179212537</v>
      </c>
      <c r="F67" s="36" t="n">
        <f aca="false">F61+F63+F66</f>
        <v>4932.809420536</v>
      </c>
      <c r="G67" s="36" t="n">
        <f aca="false">G61+G63+G66</f>
        <v>5319.50698489693</v>
      </c>
      <c r="H67" s="36" t="n">
        <f aca="false">H61+H63+H66</f>
        <v>5761.31408911023</v>
      </c>
    </row>
    <row r="68" customFormat="false" ht="15" hidden="false" customHeight="false" outlineLevel="0" collapsed="false">
      <c r="A68" s="6" t="s">
        <v>130</v>
      </c>
      <c r="C68" s="23" t="n">
        <f aca="false">C61-C62</f>
        <v>6629</v>
      </c>
      <c r="D68" s="23" t="n">
        <f aca="false">D61-D62</f>
        <v>7031.88758352578</v>
      </c>
      <c r="E68" s="23" t="n">
        <f aca="false">E61-E62</f>
        <v>7656.16215804314</v>
      </c>
      <c r="F68" s="23" t="n">
        <f aca="false">F61-F62</f>
        <v>8075.3837503481</v>
      </c>
      <c r="G68" s="23" t="n">
        <f aca="false">G61-G62</f>
        <v>8628.47647555539</v>
      </c>
      <c r="H68" s="23" t="n">
        <f aca="false">H61-H62</f>
        <v>9239.71447776165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3"/>
    <col collapsed="false" customWidth="true" hidden="false" outlineLevel="0" max="7" min="7" style="0" width="20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238</v>
      </c>
    </row>
    <row r="5" customFormat="false" ht="15" hidden="false" customHeight="false" outlineLevel="0" collapsed="false">
      <c r="A5" s="16" t="s">
        <v>239</v>
      </c>
      <c r="B5" s="17" t="s">
        <v>240</v>
      </c>
      <c r="C5" s="17" t="s">
        <v>241</v>
      </c>
      <c r="D5" s="17" t="s">
        <v>242</v>
      </c>
      <c r="E5" s="17" t="s">
        <v>243</v>
      </c>
      <c r="G5" s="40" t="s">
        <v>244</v>
      </c>
    </row>
    <row r="6" customFormat="false" ht="15" hidden="false" customHeight="false" outlineLevel="0" collapsed="false">
      <c r="A6" s="6" t="s">
        <v>245</v>
      </c>
      <c r="B6" s="41" t="n">
        <v>278.0972</v>
      </c>
      <c r="C6" s="41" t="n">
        <v>3225.52</v>
      </c>
      <c r="G6" s="6" t="s">
        <v>246</v>
      </c>
      <c r="H6" s="42" t="n">
        <f aca="false">SLOPE(D7:D66,E7:E66)</f>
        <v>0.842625691296611</v>
      </c>
    </row>
    <row r="7" customFormat="false" ht="15" hidden="false" customHeight="false" outlineLevel="0" collapsed="false">
      <c r="A7" s="6" t="s">
        <v>247</v>
      </c>
      <c r="B7" s="41" t="n">
        <v>256.445</v>
      </c>
      <c r="C7" s="41" t="n">
        <v>2954.22</v>
      </c>
      <c r="D7" s="22" t="n">
        <f aca="false">B7/B6-1</f>
        <v>-0.0778583890812277</v>
      </c>
      <c r="E7" s="22" t="n">
        <f aca="false">C7/C6-1</f>
        <v>-0.0841104690096481</v>
      </c>
      <c r="G7" s="6" t="s">
        <v>248</v>
      </c>
      <c r="H7" s="42" t="n">
        <f aca="false">RSQ(D7:D66,E7:E66)</f>
        <v>0.442886313345712</v>
      </c>
    </row>
    <row r="8" customFormat="false" ht="15" hidden="false" customHeight="false" outlineLevel="0" collapsed="false">
      <c r="A8" s="6" t="s">
        <v>249</v>
      </c>
      <c r="B8" s="41" t="n">
        <v>260.0845</v>
      </c>
      <c r="C8" s="41" t="n">
        <v>2584.5901</v>
      </c>
      <c r="D8" s="22" t="n">
        <f aca="false">B8/B7-1</f>
        <v>0.0141921269667959</v>
      </c>
      <c r="E8" s="22" t="n">
        <f aca="false">C8/C7-1</f>
        <v>-0.125119286986074</v>
      </c>
      <c r="G8" s="6" t="s">
        <v>250</v>
      </c>
      <c r="H8" s="23" t="n">
        <f aca="false">COUNT(D7:D66)</f>
        <v>60</v>
      </c>
    </row>
    <row r="9" customFormat="false" ht="15" hidden="false" customHeight="false" outlineLevel="0" collapsed="false">
      <c r="A9" s="6" t="s">
        <v>251</v>
      </c>
      <c r="B9" s="41" t="n">
        <v>277.0163</v>
      </c>
      <c r="C9" s="41" t="n">
        <v>2912.4299</v>
      </c>
      <c r="D9" s="22" t="n">
        <f aca="false">B9/B8-1</f>
        <v>0.0651011498186167</v>
      </c>
      <c r="E9" s="22" t="n">
        <f aca="false">C9/C8-1</f>
        <v>0.126844020643738</v>
      </c>
    </row>
    <row r="10" customFormat="false" ht="15" hidden="false" customHeight="false" outlineLevel="0" collapsed="false">
      <c r="A10" s="6" t="s">
        <v>252</v>
      </c>
      <c r="B10" s="41" t="n">
        <v>282.0172</v>
      </c>
      <c r="C10" s="41" t="n">
        <v>3044.3101</v>
      </c>
      <c r="D10" s="22" t="n">
        <f aca="false">B10/B9-1</f>
        <v>0.0180527283051575</v>
      </c>
      <c r="E10" s="22" t="n">
        <f aca="false">C10/C9-1</f>
        <v>0.0452818452385755</v>
      </c>
    </row>
    <row r="11" customFormat="false" ht="15" hidden="false" customHeight="false" outlineLevel="0" collapsed="false">
      <c r="A11" s="6" t="s">
        <v>253</v>
      </c>
      <c r="B11" s="41" t="n">
        <v>277.2083</v>
      </c>
      <c r="C11" s="41" t="n">
        <v>3100.29</v>
      </c>
      <c r="D11" s="22" t="n">
        <f aca="false">B11/B10-1</f>
        <v>-0.0170517968407601</v>
      </c>
      <c r="E11" s="22" t="n">
        <f aca="false">C11/C10-1</f>
        <v>0.0183883698313125</v>
      </c>
    </row>
    <row r="12" customFormat="false" ht="15" hidden="false" customHeight="false" outlineLevel="0" collapsed="false">
      <c r="A12" s="6" t="s">
        <v>254</v>
      </c>
      <c r="B12" s="41" t="n">
        <v>298.2544</v>
      </c>
      <c r="C12" s="41" t="n">
        <v>3271.1201</v>
      </c>
      <c r="D12" s="22" t="n">
        <f aca="false">B12/B11-1</f>
        <v>0.0759216084078289</v>
      </c>
      <c r="E12" s="22" t="n">
        <f aca="false">C12/C11-1</f>
        <v>0.0551013292304914</v>
      </c>
    </row>
    <row r="13" customFormat="false" ht="15" hidden="false" customHeight="false" outlineLevel="0" collapsed="false">
      <c r="A13" s="6" t="s">
        <v>255</v>
      </c>
      <c r="B13" s="41" t="n">
        <v>318.5302</v>
      </c>
      <c r="C13" s="41" t="n">
        <v>3500.3101</v>
      </c>
      <c r="D13" s="22" t="n">
        <f aca="false">B13/B12-1</f>
        <v>0.0679815620490427</v>
      </c>
      <c r="E13" s="22" t="n">
        <f aca="false">C13/C12-1</f>
        <v>0.0700646851823019</v>
      </c>
    </row>
    <row r="14" customFormat="false" ht="15" hidden="false" customHeight="false" outlineLevel="0" collapsed="false">
      <c r="A14" s="6" t="s">
        <v>256</v>
      </c>
      <c r="B14" s="41" t="n">
        <v>325.2552</v>
      </c>
      <c r="C14" s="41" t="n">
        <v>3363</v>
      </c>
      <c r="D14" s="22" t="n">
        <f aca="false">B14/B13-1</f>
        <v>0.0211125978007738</v>
      </c>
      <c r="E14" s="22" t="n">
        <f aca="false">C14/C13-1</f>
        <v>-0.0392279815436925</v>
      </c>
    </row>
    <row r="15" customFormat="false" ht="15" hidden="false" customHeight="false" outlineLevel="0" collapsed="false">
      <c r="A15" s="6" t="s">
        <v>257</v>
      </c>
      <c r="B15" s="41" t="n">
        <v>328.2854</v>
      </c>
      <c r="C15" s="41" t="n">
        <v>3269.96</v>
      </c>
      <c r="D15" s="22" t="n">
        <f aca="false">B15/B14-1</f>
        <v>0.00931637680196951</v>
      </c>
      <c r="E15" s="22" t="n">
        <f aca="false">C15/C14-1</f>
        <v>-0.0276657746060065</v>
      </c>
    </row>
    <row r="16" customFormat="false" ht="15" hidden="false" customHeight="false" outlineLevel="0" collapsed="false">
      <c r="A16" s="6" t="s">
        <v>258</v>
      </c>
      <c r="B16" s="41" t="n">
        <v>359.6341</v>
      </c>
      <c r="C16" s="41" t="n">
        <v>3621.6299</v>
      </c>
      <c r="D16" s="22" t="n">
        <f aca="false">B16/B15-1</f>
        <v>0.0954922150056019</v>
      </c>
      <c r="E16" s="22" t="n">
        <f aca="false">C16/C15-1</f>
        <v>0.107545627469449</v>
      </c>
    </row>
    <row r="17" customFormat="false" ht="15" hidden="false" customHeight="false" outlineLevel="0" collapsed="false">
      <c r="A17" s="6" t="s">
        <v>259</v>
      </c>
      <c r="B17" s="41" t="n">
        <v>354.9334</v>
      </c>
      <c r="C17" s="41" t="n">
        <v>3756.0701</v>
      </c>
      <c r="D17" s="22" t="n">
        <f aca="false">B17/B16-1</f>
        <v>-0.0130707850006436</v>
      </c>
      <c r="E17" s="22" t="n">
        <f aca="false">C17/C16-1</f>
        <v>0.0371214629081784</v>
      </c>
    </row>
    <row r="18" customFormat="false" ht="15" hidden="false" customHeight="false" outlineLevel="0" collapsed="false">
      <c r="A18" s="6" t="s">
        <v>260</v>
      </c>
      <c r="B18" s="41" t="n">
        <v>331.9952</v>
      </c>
      <c r="C18" s="41" t="n">
        <v>3714.24</v>
      </c>
      <c r="D18" s="22" t="n">
        <f aca="false">B18/B17-1</f>
        <v>-0.0646267722338895</v>
      </c>
      <c r="E18" s="22" t="n">
        <f aca="false">C18/C17-1</f>
        <v>-0.0111366664855377</v>
      </c>
    </row>
    <row r="19" customFormat="false" ht="15" hidden="false" customHeight="false" outlineLevel="0" collapsed="false">
      <c r="A19" s="6" t="s">
        <v>261</v>
      </c>
      <c r="B19" s="41" t="n">
        <v>312.4235</v>
      </c>
      <c r="C19" s="41" t="n">
        <v>3811.1499</v>
      </c>
      <c r="D19" s="22" t="n">
        <f aca="false">B19/B18-1</f>
        <v>-0.0589517559290015</v>
      </c>
      <c r="E19" s="22" t="n">
        <f aca="false">C19/C18-1</f>
        <v>0.0260914480485914</v>
      </c>
    </row>
    <row r="20" customFormat="false" ht="15" hidden="false" customHeight="false" outlineLevel="0" collapsed="false">
      <c r="A20" s="6" t="s">
        <v>262</v>
      </c>
      <c r="B20" s="41" t="n">
        <v>332.698</v>
      </c>
      <c r="C20" s="41" t="n">
        <v>3972.8899</v>
      </c>
      <c r="D20" s="22" t="n">
        <f aca="false">B20/B19-1</f>
        <v>0.0648942861212425</v>
      </c>
      <c r="E20" s="22" t="n">
        <f aca="false">C20/C19-1</f>
        <v>0.0424386351216466</v>
      </c>
    </row>
    <row r="21" customFormat="false" ht="15" hidden="false" customHeight="false" outlineLevel="0" collapsed="false">
      <c r="A21" s="6" t="s">
        <v>263</v>
      </c>
      <c r="B21" s="41" t="n">
        <v>351.9597</v>
      </c>
      <c r="C21" s="41" t="n">
        <v>4181.1699</v>
      </c>
      <c r="D21" s="22" t="n">
        <f aca="false">B21/B20-1</f>
        <v>0.0578954487252705</v>
      </c>
      <c r="E21" s="22" t="n">
        <f aca="false">C21/C20-1</f>
        <v>0.0524253138754234</v>
      </c>
    </row>
    <row r="22" customFormat="false" ht="15" hidden="false" customHeight="false" outlineLevel="0" collapsed="false">
      <c r="A22" s="6" t="s">
        <v>264</v>
      </c>
      <c r="B22" s="41" t="n">
        <v>357.8055</v>
      </c>
      <c r="C22" s="41" t="n">
        <v>4204.1099</v>
      </c>
      <c r="D22" s="22" t="n">
        <f aca="false">B22/B21-1</f>
        <v>0.0166092879383635</v>
      </c>
      <c r="E22" s="22" t="n">
        <f aca="false">C22/C21-1</f>
        <v>0.00548650271303264</v>
      </c>
    </row>
    <row r="23" customFormat="false" ht="15" hidden="false" customHeight="false" outlineLevel="0" collapsed="false">
      <c r="A23" s="6" t="s">
        <v>265</v>
      </c>
      <c r="B23" s="41" t="n">
        <v>374.2641</v>
      </c>
      <c r="C23" s="41" t="n">
        <v>4297.5</v>
      </c>
      <c r="D23" s="22" t="n">
        <f aca="false">B23/B22-1</f>
        <v>0.0459987339490309</v>
      </c>
      <c r="E23" s="22" t="n">
        <f aca="false">C23/C22-1</f>
        <v>0.0222140006378044</v>
      </c>
    </row>
    <row r="24" customFormat="false" ht="15" hidden="false" customHeight="false" outlineLevel="0" collapsed="false">
      <c r="A24" s="6" t="s">
        <v>266</v>
      </c>
      <c r="B24" s="41" t="n">
        <v>407.2339</v>
      </c>
      <c r="C24" s="41" t="n">
        <v>4395.2598</v>
      </c>
      <c r="D24" s="22" t="n">
        <f aca="false">B24/B23-1</f>
        <v>0.0880923390728634</v>
      </c>
      <c r="E24" s="22" t="n">
        <f aca="false">C24/C23-1</f>
        <v>0.0227480628272252</v>
      </c>
    </row>
    <row r="25" customFormat="false" ht="15" hidden="false" customHeight="false" outlineLevel="0" collapsed="false">
      <c r="A25" s="6" t="s">
        <v>267</v>
      </c>
      <c r="B25" s="41" t="n">
        <v>431.6554</v>
      </c>
      <c r="C25" s="41" t="n">
        <v>4522.6802</v>
      </c>
      <c r="D25" s="22" t="n">
        <f aca="false">B25/B24-1</f>
        <v>0.0599692216193199</v>
      </c>
      <c r="E25" s="22" t="n">
        <f aca="false">C25/C24-1</f>
        <v>0.0289904137179786</v>
      </c>
    </row>
    <row r="26" customFormat="false" ht="15" hidden="false" customHeight="false" outlineLevel="0" collapsed="false">
      <c r="A26" s="6" t="s">
        <v>268</v>
      </c>
      <c r="B26" s="41" t="n">
        <v>425.8366</v>
      </c>
      <c r="C26" s="41" t="n">
        <v>4307.54</v>
      </c>
      <c r="D26" s="22" t="n">
        <f aca="false">B26/B25-1</f>
        <v>-0.0134801973982024</v>
      </c>
      <c r="E26" s="22" t="n">
        <f aca="false">C26/C25-1</f>
        <v>-0.0475691825391501</v>
      </c>
    </row>
    <row r="27" customFormat="false" ht="15" hidden="false" customHeight="false" outlineLevel="0" collapsed="false">
      <c r="A27" s="6" t="s">
        <v>269</v>
      </c>
      <c r="B27" s="41" t="n">
        <v>466.5726</v>
      </c>
      <c r="C27" s="41" t="n">
        <v>4605.3799</v>
      </c>
      <c r="D27" s="22" t="n">
        <f aca="false">B27/B26-1</f>
        <v>0.0956611056917138</v>
      </c>
      <c r="E27" s="22" t="n">
        <f aca="false">C27/C26-1</f>
        <v>0.0691438500861281</v>
      </c>
    </row>
    <row r="28" customFormat="false" ht="15" hidden="false" customHeight="false" outlineLevel="0" collapsed="false">
      <c r="A28" s="6" t="s">
        <v>270</v>
      </c>
      <c r="B28" s="41" t="n">
        <v>511.9827</v>
      </c>
      <c r="C28" s="41" t="n">
        <v>4567</v>
      </c>
      <c r="D28" s="22" t="n">
        <f aca="false">B28/B27-1</f>
        <v>0.0973269754803432</v>
      </c>
      <c r="E28" s="22" t="n">
        <f aca="false">C28/C27-1</f>
        <v>-0.0083337098856926</v>
      </c>
    </row>
    <row r="29" customFormat="false" ht="15" hidden="false" customHeight="false" outlineLevel="0" collapsed="false">
      <c r="A29" s="6" t="s">
        <v>271</v>
      </c>
      <c r="B29" s="41" t="n">
        <v>538.8643</v>
      </c>
      <c r="C29" s="41" t="n">
        <v>4766.1802</v>
      </c>
      <c r="D29" s="22" t="n">
        <f aca="false">B29/B28-1</f>
        <v>0.0525048990913168</v>
      </c>
      <c r="E29" s="22" t="n">
        <f aca="false">C29/C28-1</f>
        <v>0.0436129187650536</v>
      </c>
    </row>
    <row r="30" customFormat="false" ht="15" hidden="false" customHeight="false" outlineLevel="0" collapsed="false">
      <c r="A30" s="6" t="s">
        <v>272</v>
      </c>
      <c r="B30" s="41" t="n">
        <v>479.4723</v>
      </c>
      <c r="C30" s="41" t="n">
        <v>4515.5498</v>
      </c>
      <c r="D30" s="22" t="n">
        <f aca="false">B30/B29-1</f>
        <v>-0.110216987839053</v>
      </c>
      <c r="E30" s="22" t="n">
        <f aca="false">C30/C29-1</f>
        <v>-0.0525851708250561</v>
      </c>
    </row>
    <row r="31" customFormat="false" ht="15" hidden="false" customHeight="false" outlineLevel="0" collapsed="false">
      <c r="A31" s="6" t="s">
        <v>273</v>
      </c>
      <c r="B31" s="41" t="n">
        <v>493.622</v>
      </c>
      <c r="C31" s="41" t="n">
        <v>4373.9399</v>
      </c>
      <c r="D31" s="22" t="n">
        <f aca="false">B31/B30-1</f>
        <v>0.0295109853061375</v>
      </c>
      <c r="E31" s="22" t="n">
        <f aca="false">C31/C30-1</f>
        <v>-0.0313605001100862</v>
      </c>
    </row>
    <row r="32" customFormat="false" ht="15" hidden="false" customHeight="false" outlineLevel="0" collapsed="false">
      <c r="A32" s="6" t="s">
        <v>274</v>
      </c>
      <c r="B32" s="41" t="n">
        <v>547.4286</v>
      </c>
      <c r="C32" s="41" t="n">
        <v>4530.4102</v>
      </c>
      <c r="D32" s="22" t="n">
        <f aca="false">B32/B31-1</f>
        <v>0.109003650566628</v>
      </c>
      <c r="E32" s="22" t="n">
        <f aca="false">C32/C31-1</f>
        <v>0.0357733081792002</v>
      </c>
    </row>
    <row r="33" customFormat="false" ht="15" hidden="false" customHeight="false" outlineLevel="0" collapsed="false">
      <c r="A33" s="6" t="s">
        <v>275</v>
      </c>
      <c r="B33" s="41" t="n">
        <v>506.2992</v>
      </c>
      <c r="C33" s="41" t="n">
        <v>4131.9302</v>
      </c>
      <c r="D33" s="22" t="n">
        <f aca="false">B33/B32-1</f>
        <v>-0.0751319898156582</v>
      </c>
      <c r="E33" s="22" t="n">
        <f aca="false">C33/C32-1</f>
        <v>-0.0879567152660924</v>
      </c>
    </row>
    <row r="34" customFormat="false" ht="15" hidden="false" customHeight="false" outlineLevel="0" collapsed="false">
      <c r="A34" s="6" t="s">
        <v>276</v>
      </c>
      <c r="B34" s="41" t="n">
        <v>443.9305</v>
      </c>
      <c r="C34" s="41" t="n">
        <v>4132.1499</v>
      </c>
      <c r="D34" s="22" t="n">
        <f aca="false">B34/B33-1</f>
        <v>-0.123185460296994</v>
      </c>
      <c r="E34" s="22" t="n">
        <f aca="false">C34/C33-1</f>
        <v>5.31712757394498E-005</v>
      </c>
    </row>
    <row r="35" customFormat="false" ht="15" hidden="false" customHeight="false" outlineLevel="0" collapsed="false">
      <c r="A35" s="6" t="s">
        <v>277</v>
      </c>
      <c r="B35" s="41" t="n">
        <v>456.3661</v>
      </c>
      <c r="C35" s="41" t="n">
        <v>3785.3799</v>
      </c>
      <c r="D35" s="22" t="n">
        <f aca="false">B35/B34-1</f>
        <v>0.0280124929465311</v>
      </c>
      <c r="E35" s="22" t="n">
        <f aca="false">C35/C34-1</f>
        <v>-0.0839199952547705</v>
      </c>
    </row>
    <row r="36" customFormat="false" ht="15" hidden="false" customHeight="false" outlineLevel="0" collapsed="false">
      <c r="A36" s="6" t="s">
        <v>278</v>
      </c>
      <c r="B36" s="41" t="n">
        <v>516.3106</v>
      </c>
      <c r="C36" s="41" t="n">
        <v>4130.29</v>
      </c>
      <c r="D36" s="22" t="n">
        <f aca="false">B36/B35-1</f>
        <v>0.131351780949549</v>
      </c>
      <c r="E36" s="22" t="n">
        <f aca="false">C36/C35-1</f>
        <v>0.0911163764566934</v>
      </c>
    </row>
    <row r="37" customFormat="false" ht="15" hidden="false" customHeight="false" outlineLevel="0" collapsed="false">
      <c r="A37" s="6" t="s">
        <v>279</v>
      </c>
      <c r="B37" s="41" t="n">
        <v>497.997</v>
      </c>
      <c r="C37" s="41" t="n">
        <v>3955</v>
      </c>
      <c r="D37" s="22" t="n">
        <f aca="false">B37/B36-1</f>
        <v>-0.0354701220544378</v>
      </c>
      <c r="E37" s="22" t="n">
        <f aca="false">C37/C36-1</f>
        <v>-0.0424401192168105</v>
      </c>
    </row>
    <row r="38" customFormat="false" ht="15" hidden="false" customHeight="false" outlineLevel="0" collapsed="false">
      <c r="A38" s="6" t="s">
        <v>280</v>
      </c>
      <c r="B38" s="41" t="n">
        <v>450.4675</v>
      </c>
      <c r="C38" s="41" t="n">
        <v>3585.6201</v>
      </c>
      <c r="D38" s="22" t="n">
        <f aca="false">B38/B37-1</f>
        <v>-0.0954413380000282</v>
      </c>
      <c r="E38" s="22" t="n">
        <f aca="false">C38/C37-1</f>
        <v>-0.0933956763590391</v>
      </c>
    </row>
    <row r="39" customFormat="false" ht="15" hidden="false" customHeight="false" outlineLevel="0" collapsed="false">
      <c r="A39" s="6" t="s">
        <v>281</v>
      </c>
      <c r="B39" s="41" t="n">
        <v>479.2117</v>
      </c>
      <c r="C39" s="41" t="n">
        <v>3871.98</v>
      </c>
      <c r="D39" s="22" t="n">
        <f aca="false">B39/B38-1</f>
        <v>0.063809708802522</v>
      </c>
      <c r="E39" s="22" t="n">
        <f aca="false">C39/C38-1</f>
        <v>0.0798634244603882</v>
      </c>
    </row>
    <row r="40" customFormat="false" ht="15" hidden="false" customHeight="false" outlineLevel="0" collapsed="false">
      <c r="A40" s="6" t="s">
        <v>282</v>
      </c>
      <c r="B40" s="41" t="n">
        <v>515.2839</v>
      </c>
      <c r="C40" s="41" t="n">
        <v>4080.1101</v>
      </c>
      <c r="D40" s="22" t="n">
        <f aca="false">B40/B39-1</f>
        <v>0.0752740385929642</v>
      </c>
      <c r="E40" s="22" t="n">
        <f aca="false">C40/C39-1</f>
        <v>0.0537528861202796</v>
      </c>
    </row>
    <row r="41" customFormat="false" ht="15" hidden="false" customHeight="false" outlineLevel="0" collapsed="false">
      <c r="A41" s="6" t="s">
        <v>283</v>
      </c>
      <c r="B41" s="41" t="n">
        <v>436.2115</v>
      </c>
      <c r="C41" s="41" t="n">
        <v>3839.5</v>
      </c>
      <c r="D41" s="22" t="n">
        <f aca="false">B41/B40-1</f>
        <v>-0.15345404737078</v>
      </c>
      <c r="E41" s="22" t="n">
        <f aca="false">C41/C40-1</f>
        <v>-0.0589714723629639</v>
      </c>
    </row>
    <row r="42" customFormat="false" ht="15" hidden="false" customHeight="false" outlineLevel="0" collapsed="false">
      <c r="A42" s="6" t="s">
        <v>284</v>
      </c>
      <c r="B42" s="41" t="n">
        <v>488.4232</v>
      </c>
      <c r="C42" s="41" t="n">
        <v>4076.6001</v>
      </c>
      <c r="D42" s="22" t="n">
        <f aca="false">B42/B41-1</f>
        <v>0.119693543155098</v>
      </c>
      <c r="E42" s="22" t="n">
        <f aca="false">C42/C41-1</f>
        <v>0.0617528584451101</v>
      </c>
    </row>
    <row r="43" customFormat="false" ht="15" hidden="false" customHeight="false" outlineLevel="0" collapsed="false">
      <c r="A43" s="6" t="s">
        <v>285</v>
      </c>
      <c r="B43" s="41" t="n">
        <v>463.4667</v>
      </c>
      <c r="C43" s="41" t="n">
        <v>3970.1499</v>
      </c>
      <c r="D43" s="22" t="n">
        <f aca="false">B43/B42-1</f>
        <v>-0.0510960576811257</v>
      </c>
      <c r="E43" s="22" t="n">
        <f aca="false">C43/C42-1</f>
        <v>-0.0261124950666611</v>
      </c>
    </row>
    <row r="44" customFormat="false" ht="15" hidden="false" customHeight="false" outlineLevel="0" collapsed="false">
      <c r="A44" s="6" t="s">
        <v>286</v>
      </c>
      <c r="B44" s="41" t="n">
        <v>475.6138</v>
      </c>
      <c r="C44" s="41" t="n">
        <v>4109.3101</v>
      </c>
      <c r="D44" s="22" t="n">
        <f aca="false">B44/B43-1</f>
        <v>0.0262092184832266</v>
      </c>
      <c r="E44" s="22" t="n">
        <f aca="false">C44/C43-1</f>
        <v>0.0350516236175364</v>
      </c>
    </row>
    <row r="45" customFormat="false" ht="15" hidden="false" customHeight="false" outlineLevel="0" collapsed="false">
      <c r="A45" s="6" t="s">
        <v>287</v>
      </c>
      <c r="B45" s="41" t="n">
        <v>481.6923</v>
      </c>
      <c r="C45" s="41" t="n">
        <v>4169.48</v>
      </c>
      <c r="D45" s="22" t="n">
        <f aca="false">B45/B44-1</f>
        <v>0.0127803272318843</v>
      </c>
      <c r="E45" s="22" t="n">
        <f aca="false">C45/C44-1</f>
        <v>0.0146423361916639</v>
      </c>
    </row>
    <row r="46" customFormat="false" ht="15" hidden="false" customHeight="false" outlineLevel="0" collapsed="false">
      <c r="A46" s="6" t="s">
        <v>288</v>
      </c>
      <c r="B46" s="41" t="n">
        <v>490.6967</v>
      </c>
      <c r="C46" s="41" t="n">
        <v>4179.8301</v>
      </c>
      <c r="D46" s="22" t="n">
        <f aca="false">B46/B45-1</f>
        <v>0.0186932612375161</v>
      </c>
      <c r="E46" s="22" t="n">
        <f aca="false">C46/C45-1</f>
        <v>0.00248234791868551</v>
      </c>
    </row>
    <row r="47" customFormat="false" ht="15" hidden="false" customHeight="false" outlineLevel="0" collapsed="false">
      <c r="A47" s="6" t="s">
        <v>289</v>
      </c>
      <c r="B47" s="41" t="n">
        <v>516.4229</v>
      </c>
      <c r="C47" s="41" t="n">
        <v>4450.3799</v>
      </c>
      <c r="D47" s="22" t="n">
        <f aca="false">B47/B46-1</f>
        <v>0.052427905058257</v>
      </c>
      <c r="E47" s="22" t="n">
        <f aca="false">C47/C46-1</f>
        <v>0.0647274634440285</v>
      </c>
    </row>
    <row r="48" customFormat="false" ht="15" hidden="false" customHeight="false" outlineLevel="0" collapsed="false">
      <c r="A48" s="6" t="s">
        <v>290</v>
      </c>
      <c r="B48" s="41" t="n">
        <v>537.8038</v>
      </c>
      <c r="C48" s="41" t="n">
        <v>4588.96</v>
      </c>
      <c r="D48" s="22" t="n">
        <f aca="false">B48/B47-1</f>
        <v>0.0414019207901122</v>
      </c>
      <c r="E48" s="22" t="n">
        <f aca="false">C48/C47-1</f>
        <v>0.0311389371500621</v>
      </c>
    </row>
    <row r="49" customFormat="false" ht="15" hidden="false" customHeight="false" outlineLevel="0" collapsed="false">
      <c r="A49" s="6" t="s">
        <v>291</v>
      </c>
      <c r="B49" s="41" t="n">
        <v>527.8738</v>
      </c>
      <c r="C49" s="41" t="n">
        <v>4507.6602</v>
      </c>
      <c r="D49" s="22" t="n">
        <f aca="false">B49/B48-1</f>
        <v>-0.0184639825899334</v>
      </c>
      <c r="E49" s="22" t="n">
        <f aca="false">C49/C48-1</f>
        <v>-0.017716388898574</v>
      </c>
    </row>
    <row r="50" customFormat="false" ht="15" hidden="false" customHeight="false" outlineLevel="0" collapsed="false">
      <c r="A50" s="6" t="s">
        <v>292</v>
      </c>
      <c r="B50" s="41" t="n">
        <v>542.9428</v>
      </c>
      <c r="C50" s="41" t="n">
        <v>4288.0498</v>
      </c>
      <c r="D50" s="22" t="n">
        <f aca="false">B50/B49-1</f>
        <v>0.0285465957961923</v>
      </c>
      <c r="E50" s="22" t="n">
        <f aca="false">C50/C49-1</f>
        <v>-0.0487193777383664</v>
      </c>
    </row>
    <row r="51" customFormat="false" ht="15" hidden="false" customHeight="false" outlineLevel="0" collapsed="false">
      <c r="A51" s="6" t="s">
        <v>293</v>
      </c>
      <c r="B51" s="41" t="n">
        <v>530.9107</v>
      </c>
      <c r="C51" s="41" t="n">
        <v>4193.7998</v>
      </c>
      <c r="D51" s="22" t="n">
        <f aca="false">B51/B50-1</f>
        <v>-0.0221608979804134</v>
      </c>
      <c r="E51" s="22" t="n">
        <f aca="false">C51/C50-1</f>
        <v>-0.0219796887620102</v>
      </c>
    </row>
    <row r="52" customFormat="false" ht="15" hidden="false" customHeight="false" outlineLevel="0" collapsed="false">
      <c r="A52" s="6" t="s">
        <v>294</v>
      </c>
      <c r="B52" s="41" t="n">
        <v>570.6855</v>
      </c>
      <c r="C52" s="41" t="n">
        <v>4567.7998</v>
      </c>
      <c r="D52" s="22" t="n">
        <f aca="false">B52/B51-1</f>
        <v>0.0749180606079327</v>
      </c>
      <c r="E52" s="22" t="n">
        <f aca="false">C52/C51-1</f>
        <v>0.0891792688816475</v>
      </c>
    </row>
    <row r="53" customFormat="false" ht="15" hidden="false" customHeight="false" outlineLevel="0" collapsed="false">
      <c r="A53" s="6" t="s">
        <v>295</v>
      </c>
      <c r="B53" s="41" t="n">
        <v>649.9721</v>
      </c>
      <c r="C53" s="41" t="n">
        <v>4769.8301</v>
      </c>
      <c r="D53" s="22" t="n">
        <f aca="false">B53/B52-1</f>
        <v>0.138932213977751</v>
      </c>
      <c r="E53" s="22" t="n">
        <f aca="false">C53/C52-1</f>
        <v>0.0442292370169113</v>
      </c>
    </row>
    <row r="54" customFormat="false" ht="15" hidden="false" customHeight="false" outlineLevel="0" collapsed="false">
      <c r="A54" s="6" t="s">
        <v>296</v>
      </c>
      <c r="B54" s="41" t="n">
        <v>684.2391</v>
      </c>
      <c r="C54" s="41" t="n">
        <v>4845.6499</v>
      </c>
      <c r="D54" s="22" t="n">
        <f aca="false">B54/B53-1</f>
        <v>0.0527207244741736</v>
      </c>
      <c r="E54" s="22" t="n">
        <f aca="false">C54/C53-1</f>
        <v>0.0158957024486051</v>
      </c>
    </row>
    <row r="55" customFormat="false" ht="15" hidden="false" customHeight="false" outlineLevel="0" collapsed="false">
      <c r="A55" s="6" t="s">
        <v>297</v>
      </c>
      <c r="B55" s="41" t="n">
        <v>733.5754</v>
      </c>
      <c r="C55" s="41" t="n">
        <v>5096.27</v>
      </c>
      <c r="D55" s="22" t="n">
        <f aca="false">B55/B54-1</f>
        <v>0.0721038888306733</v>
      </c>
      <c r="E55" s="22" t="n">
        <f aca="false">C55/C54-1</f>
        <v>0.0517206371017436</v>
      </c>
    </row>
    <row r="56" customFormat="false" ht="15" hidden="false" customHeight="false" outlineLevel="0" collapsed="false">
      <c r="A56" s="6" t="s">
        <v>298</v>
      </c>
      <c r="B56" s="41" t="n">
        <v>722.4716</v>
      </c>
      <c r="C56" s="41" t="n">
        <v>5254.3501</v>
      </c>
      <c r="D56" s="22" t="n">
        <f aca="false">B56/B55-1</f>
        <v>-0.0151365490173198</v>
      </c>
      <c r="E56" s="22" t="n">
        <f aca="false">C56/C55-1</f>
        <v>0.0310187843265759</v>
      </c>
    </row>
    <row r="57" customFormat="false" ht="15" hidden="false" customHeight="false" outlineLevel="0" collapsed="false">
      <c r="A57" s="6" t="s">
        <v>299</v>
      </c>
      <c r="B57" s="41" t="n">
        <v>714.0208</v>
      </c>
      <c r="C57" s="41" t="n">
        <v>5035.6899</v>
      </c>
      <c r="D57" s="22" t="n">
        <f aca="false">B57/B56-1</f>
        <v>-0.0116970687844338</v>
      </c>
      <c r="E57" s="22" t="n">
        <f aca="false">C57/C56-1</f>
        <v>-0.04161508004577</v>
      </c>
    </row>
    <row r="58" customFormat="false" ht="15" hidden="false" customHeight="false" outlineLevel="0" collapsed="false">
      <c r="A58" s="6" t="s">
        <v>300</v>
      </c>
      <c r="B58" s="41" t="n">
        <v>799.9423</v>
      </c>
      <c r="C58" s="41" t="n">
        <v>5277.5098</v>
      </c>
      <c r="D58" s="22" t="n">
        <f aca="false">B58/B57-1</f>
        <v>0.120334729744568</v>
      </c>
      <c r="E58" s="22" t="n">
        <f aca="false">C58/C57-1</f>
        <v>0.0480212055948877</v>
      </c>
    </row>
    <row r="59" customFormat="false" ht="15" hidden="false" customHeight="false" outlineLevel="0" collapsed="false">
      <c r="A59" s="6" t="s">
        <v>301</v>
      </c>
      <c r="B59" s="41" t="n">
        <v>839.5496</v>
      </c>
      <c r="C59" s="41" t="n">
        <v>5460.48</v>
      </c>
      <c r="D59" s="22" t="n">
        <f aca="false">B59/B58-1</f>
        <v>0.0495126961032064</v>
      </c>
      <c r="E59" s="22" t="n">
        <f aca="false">C59/C58-1</f>
        <v>0.0346697982446191</v>
      </c>
    </row>
    <row r="60" customFormat="false" ht="15" hidden="false" customHeight="false" outlineLevel="0" collapsed="false">
      <c r="A60" s="6" t="s">
        <v>302</v>
      </c>
      <c r="B60" s="41" t="n">
        <v>813.0594</v>
      </c>
      <c r="C60" s="41" t="n">
        <v>5522.2998</v>
      </c>
      <c r="D60" s="22" t="n">
        <f aca="false">B60/B59-1</f>
        <v>-0.0315528707297342</v>
      </c>
      <c r="E60" s="22" t="n">
        <f aca="false">C60/C59-1</f>
        <v>0.0113213124120957</v>
      </c>
    </row>
    <row r="61" customFormat="false" ht="15" hidden="false" customHeight="false" outlineLevel="0" collapsed="false">
      <c r="A61" s="6" t="s">
        <v>303</v>
      </c>
      <c r="B61" s="41" t="n">
        <v>882.6739</v>
      </c>
      <c r="C61" s="41" t="n">
        <v>5648.3999</v>
      </c>
      <c r="D61" s="22" t="n">
        <f aca="false">B61/B60-1</f>
        <v>0.0856204356040899</v>
      </c>
      <c r="E61" s="22" t="n">
        <f aca="false">C61/C60-1</f>
        <v>0.0228347073804289</v>
      </c>
    </row>
    <row r="62" customFormat="false" ht="15" hidden="false" customHeight="false" outlineLevel="0" collapsed="false">
      <c r="A62" s="6" t="s">
        <v>304</v>
      </c>
      <c r="B62" s="41" t="n">
        <v>876.8776</v>
      </c>
      <c r="C62" s="41" t="n">
        <v>5762.48</v>
      </c>
      <c r="D62" s="22" t="n">
        <f aca="false">B62/B61-1</f>
        <v>-0.00656675132231732</v>
      </c>
      <c r="E62" s="22" t="n">
        <f aca="false">C62/C61-1</f>
        <v>0.0201968879717598</v>
      </c>
    </row>
    <row r="63" customFormat="false" ht="15" hidden="false" customHeight="false" outlineLevel="0" collapsed="false">
      <c r="A63" s="6" t="s">
        <v>305</v>
      </c>
      <c r="B63" s="41" t="n">
        <v>864.6718</v>
      </c>
      <c r="C63" s="41" t="n">
        <v>5705.4502</v>
      </c>
      <c r="D63" s="22" t="n">
        <f aca="false">B63/B62-1</f>
        <v>-0.0139196166032751</v>
      </c>
      <c r="E63" s="22" t="n">
        <f aca="false">C63/C62-1</f>
        <v>-0.00989674584553857</v>
      </c>
    </row>
    <row r="64" customFormat="false" ht="15" hidden="false" customHeight="false" outlineLevel="0" collapsed="false">
      <c r="A64" s="6" t="s">
        <v>306</v>
      </c>
      <c r="B64" s="41" t="n">
        <v>962.5865</v>
      </c>
      <c r="C64" s="41" t="n">
        <v>6032.3799</v>
      </c>
      <c r="D64" s="22" t="n">
        <f aca="false">B64/B63-1</f>
        <v>0.113239150392091</v>
      </c>
      <c r="E64" s="22" t="n">
        <f aca="false">C64/C63-1</f>
        <v>0.0573012976259086</v>
      </c>
    </row>
    <row r="65" customFormat="false" ht="15" hidden="false" customHeight="false" outlineLevel="0" collapsed="false">
      <c r="A65" s="6" t="s">
        <v>307</v>
      </c>
      <c r="B65" s="41" t="n">
        <v>907.5082</v>
      </c>
      <c r="C65" s="41" t="n">
        <v>5881.6299</v>
      </c>
      <c r="D65" s="22" t="n">
        <f aca="false">B65/B64-1</f>
        <v>-0.0572190655073596</v>
      </c>
      <c r="E65" s="22" t="n">
        <f aca="false">C65/C64-1</f>
        <v>-0.0249901369772816</v>
      </c>
    </row>
    <row r="66" customFormat="false" ht="15" hidden="false" customHeight="false" outlineLevel="0" collapsed="false">
      <c r="A66" s="6" t="s">
        <v>308</v>
      </c>
      <c r="B66" s="41" t="n">
        <v>970.5099</v>
      </c>
      <c r="C66" s="41" t="n">
        <v>6040.5298</v>
      </c>
      <c r="D66" s="22" t="n">
        <f aca="false">B66/B65-1</f>
        <v>0.0694227335907269</v>
      </c>
      <c r="E66" s="22" t="n">
        <f aca="false">C66/C65-1</f>
        <v>0.0270163037630098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309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310</v>
      </c>
    </row>
    <row r="5" customFormat="false" ht="15" hidden="false" customHeight="false" outlineLevel="0" collapsed="false">
      <c r="A5" s="16" t="s">
        <v>311</v>
      </c>
      <c r="B5" s="17" t="s">
        <v>312</v>
      </c>
      <c r="C5" s="17" t="s">
        <v>313</v>
      </c>
    </row>
    <row r="6" customFormat="false" ht="15" hidden="false" customHeight="false" outlineLevel="0" collapsed="false">
      <c r="A6" s="6" t="s">
        <v>314</v>
      </c>
      <c r="B6" s="43" t="n">
        <v>0.0458</v>
      </c>
      <c r="C6" s="3" t="s">
        <v>315</v>
      </c>
    </row>
    <row r="7" customFormat="false" ht="15" hidden="false" customHeight="false" outlineLevel="0" collapsed="false">
      <c r="A7" s="6" t="s">
        <v>316</v>
      </c>
      <c r="B7" s="43" t="n">
        <v>0.0433</v>
      </c>
      <c r="C7" s="3" t="s">
        <v>317</v>
      </c>
    </row>
    <row r="8" customFormat="false" ht="15" hidden="false" customHeight="false" outlineLevel="0" collapsed="false">
      <c r="A8" s="6" t="s">
        <v>318</v>
      </c>
      <c r="B8" s="44" t="n">
        <f aca="false">Beta!$H$6</f>
        <v>0.842625691296611</v>
      </c>
      <c r="C8" s="3" t="s">
        <v>319</v>
      </c>
    </row>
    <row r="9" customFormat="false" ht="15" hidden="false" customHeight="false" outlineLevel="0" collapsed="false">
      <c r="A9" s="6" t="s">
        <v>320</v>
      </c>
      <c r="B9" s="30" t="n">
        <v>0.67</v>
      </c>
      <c r="C9" s="3" t="s">
        <v>321</v>
      </c>
    </row>
    <row r="10" customFormat="false" ht="15" hidden="false" customHeight="false" outlineLevel="0" collapsed="false">
      <c r="A10" s="6" t="s">
        <v>322</v>
      </c>
      <c r="B10" s="42" t="n">
        <f aca="false">B9*B8+(1-B9)</f>
        <v>0.894559213168729</v>
      </c>
    </row>
    <row r="11" customFormat="false" ht="15" hidden="false" customHeight="false" outlineLevel="0" collapsed="false">
      <c r="A11" s="12" t="s">
        <v>323</v>
      </c>
      <c r="B11" s="45" t="n">
        <f aca="false">B6+B10*B7</f>
        <v>0.084534413930206</v>
      </c>
    </row>
    <row r="12" customFormat="false" ht="15" hidden="false" customHeight="false" outlineLevel="0" collapsed="false">
      <c r="A12" s="6" t="s">
        <v>324</v>
      </c>
      <c r="B12" s="29" t="n">
        <v>0.0046</v>
      </c>
      <c r="C12" s="3" t="s">
        <v>325</v>
      </c>
    </row>
    <row r="13" customFormat="false" ht="15" hidden="false" customHeight="false" outlineLevel="0" collapsed="false">
      <c r="A13" s="6" t="s">
        <v>326</v>
      </c>
      <c r="B13" s="29" t="n">
        <v>0.0069</v>
      </c>
      <c r="C13" s="3" t="s">
        <v>327</v>
      </c>
    </row>
    <row r="14" customFormat="false" ht="15" hidden="false" customHeight="false" outlineLevel="0" collapsed="false">
      <c r="A14" s="6" t="s">
        <v>328</v>
      </c>
      <c r="B14" s="22" t="n">
        <f aca="false">B6+AVERAGE(B12,B13)</f>
        <v>0.05155</v>
      </c>
    </row>
    <row r="15" customFormat="false" ht="15" hidden="false" customHeight="false" outlineLevel="0" collapsed="false">
      <c r="A15" s="6" t="s">
        <v>168</v>
      </c>
      <c r="B15" s="32" t="n">
        <f aca="false">Assumptions!$C$40</f>
        <v>0.26</v>
      </c>
    </row>
    <row r="16" customFormat="false" ht="15" hidden="false" customHeight="false" outlineLevel="0" collapsed="false">
      <c r="A16" s="6" t="s">
        <v>329</v>
      </c>
      <c r="B16" s="22" t="n">
        <f aca="false">B14*(1-B15)</f>
        <v>0.038147</v>
      </c>
    </row>
    <row r="17" customFormat="false" ht="15" hidden="false" customHeight="false" outlineLevel="0" collapsed="false">
      <c r="A17" s="6" t="s">
        <v>9</v>
      </c>
      <c r="B17" s="19" t="n">
        <v>979.88</v>
      </c>
      <c r="C17" s="3" t="s">
        <v>330</v>
      </c>
    </row>
    <row r="18" customFormat="false" ht="15" hidden="false" customHeight="false" outlineLevel="0" collapsed="false">
      <c r="A18" s="6" t="s">
        <v>331</v>
      </c>
      <c r="B18" s="20" t="n">
        <v>443.89887</v>
      </c>
      <c r="C18" s="3" t="s">
        <v>332</v>
      </c>
    </row>
    <row r="19" customFormat="false" ht="15" hidden="false" customHeight="false" outlineLevel="0" collapsed="false">
      <c r="A19" s="6" t="s">
        <v>333</v>
      </c>
      <c r="B19" s="30" t="n">
        <v>0.903</v>
      </c>
      <c r="C19" s="3" t="s">
        <v>334</v>
      </c>
    </row>
    <row r="20" customFormat="false" ht="15" hidden="false" customHeight="false" outlineLevel="0" collapsed="false">
      <c r="A20" s="6" t="s">
        <v>219</v>
      </c>
      <c r="B20" s="34" t="n">
        <f aca="false">B18+B19</f>
        <v>444.80187</v>
      </c>
    </row>
    <row r="21" customFormat="false" ht="15" hidden="false" customHeight="false" outlineLevel="0" collapsed="false">
      <c r="A21" s="6" t="s">
        <v>335</v>
      </c>
      <c r="B21" s="23" t="n">
        <f aca="false">B17*B20</f>
        <v>435852.4563756</v>
      </c>
    </row>
    <row r="22" customFormat="false" ht="15" hidden="false" customHeight="false" outlineLevel="0" collapsed="false">
      <c r="A22" s="6" t="s">
        <v>336</v>
      </c>
      <c r="B22" s="18" t="n">
        <v>5273</v>
      </c>
      <c r="C22" s="3" t="s">
        <v>337</v>
      </c>
    </row>
    <row r="23" customFormat="false" ht="15" hidden="false" customHeight="false" outlineLevel="0" collapsed="false">
      <c r="A23" s="6" t="s">
        <v>338</v>
      </c>
      <c r="B23" s="18" t="n">
        <v>1498</v>
      </c>
      <c r="C23" s="3" t="s">
        <v>339</v>
      </c>
    </row>
    <row r="24" customFormat="false" ht="15" hidden="false" customHeight="false" outlineLevel="0" collapsed="false">
      <c r="A24" s="6" t="s">
        <v>340</v>
      </c>
      <c r="B24" s="23" t="n">
        <f aca="false">B22+B23</f>
        <v>6771</v>
      </c>
    </row>
    <row r="25" customFormat="false" ht="15" hidden="false" customHeight="false" outlineLevel="0" collapsed="false">
      <c r="A25" s="6" t="s">
        <v>341</v>
      </c>
      <c r="B25" s="22" t="n">
        <f aca="false">B21/(B21+B24)</f>
        <v>0.984702573028</v>
      </c>
    </row>
    <row r="26" customFormat="false" ht="15" hidden="false" customHeight="false" outlineLevel="0" collapsed="false">
      <c r="A26" s="6" t="s">
        <v>342</v>
      </c>
      <c r="B26" s="22" t="n">
        <f aca="false">B24/(B21+B24)</f>
        <v>0.0152974269720001</v>
      </c>
    </row>
    <row r="27" customFormat="false" ht="15" hidden="false" customHeight="false" outlineLevel="0" collapsed="false">
      <c r="A27" s="12" t="s">
        <v>5</v>
      </c>
      <c r="B27" s="46" t="n">
        <f aca="false">B25*B11+B26*B16</f>
        <v>0.0838248058531887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13"/>
  </cols>
  <sheetData>
    <row r="1" customFormat="false" ht="17.35" hidden="false" customHeight="false" outlineLevel="0" collapsed="false">
      <c r="A1" s="1" t="s">
        <v>343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344</v>
      </c>
    </row>
    <row r="5" customFormat="false" ht="15" hidden="false" customHeight="false" outlineLevel="0" collapsed="false">
      <c r="A5" s="12" t="s">
        <v>345</v>
      </c>
      <c r="B5" s="47" t="n">
        <v>45688</v>
      </c>
    </row>
    <row r="6" customFormat="false" ht="15" hidden="false" customHeight="false" outlineLevel="0" collapsed="false">
      <c r="A6" s="12" t="s">
        <v>346</v>
      </c>
      <c r="B6" s="47" t="n">
        <v>45620</v>
      </c>
    </row>
    <row r="7" customFormat="false" ht="15" hidden="false" customHeight="false" outlineLevel="0" collapsed="false">
      <c r="A7" s="12" t="s">
        <v>347</v>
      </c>
      <c r="B7" s="47" t="n">
        <v>45537</v>
      </c>
    </row>
    <row r="8" customFormat="false" ht="15" hidden="false" customHeight="false" outlineLevel="0" collapsed="false">
      <c r="A8" s="12" t="s">
        <v>5</v>
      </c>
      <c r="B8" s="48" t="n">
        <f aca="false">WACC!$B$27</f>
        <v>0.0838248058531887</v>
      </c>
    </row>
    <row r="9" customFormat="false" ht="15" hidden="false" customHeight="false" outlineLevel="0" collapsed="false">
      <c r="A9" s="12" t="s">
        <v>196</v>
      </c>
      <c r="B9" s="49" t="n">
        <f aca="false">Assumptions!$C$60</f>
        <v>0.03</v>
      </c>
    </row>
    <row r="10" customFormat="false" ht="15" hidden="false" customHeight="false" outlineLevel="0" collapsed="false">
      <c r="A10" s="12" t="s">
        <v>348</v>
      </c>
      <c r="B10" s="49" t="n">
        <f aca="false">Assumptions!$C$61</f>
        <v>0.25</v>
      </c>
    </row>
    <row r="11" customFormat="false" ht="15" hidden="false" customHeight="false" outlineLevel="0" collapsed="false">
      <c r="A11" s="12" t="s">
        <v>168</v>
      </c>
      <c r="B11" s="32" t="n">
        <f aca="false">WACC!$B$15</f>
        <v>0.26</v>
      </c>
    </row>
    <row r="13" customFormat="false" ht="15" hidden="false" customHeight="false" outlineLevel="0" collapsed="false">
      <c r="A13" s="16" t="s">
        <v>202</v>
      </c>
      <c r="B13" s="17"/>
      <c r="C13" s="17" t="s">
        <v>136</v>
      </c>
      <c r="D13" s="17" t="s">
        <v>137</v>
      </c>
      <c r="E13" s="17" t="s">
        <v>138</v>
      </c>
      <c r="F13" s="17" t="s">
        <v>139</v>
      </c>
      <c r="G13" s="17" t="s">
        <v>140</v>
      </c>
    </row>
    <row r="14" customFormat="false" ht="15" hidden="false" customHeight="false" outlineLevel="0" collapsed="false">
      <c r="A14" s="6" t="s">
        <v>349</v>
      </c>
      <c r="C14" s="47" t="n">
        <v>45900</v>
      </c>
      <c r="D14" s="47" t="n">
        <v>46264</v>
      </c>
      <c r="E14" s="47" t="n">
        <v>46628</v>
      </c>
      <c r="F14" s="47" t="n">
        <v>46999</v>
      </c>
      <c r="G14" s="47" t="n">
        <v>47363</v>
      </c>
    </row>
    <row r="15" customFormat="false" ht="15" hidden="false" customHeight="false" outlineLevel="0" collapsed="false">
      <c r="A15" s="6" t="s">
        <v>350</v>
      </c>
      <c r="C15" s="31" t="n">
        <f aca="false">Forecast!D21</f>
        <v>10187.0514000768</v>
      </c>
      <c r="D15" s="31" t="n">
        <f aca="false">Forecast!E21</f>
        <v>11089.2910971327</v>
      </c>
      <c r="E15" s="31" t="n">
        <f aca="false">Forecast!F21</f>
        <v>11791.9768643889</v>
      </c>
      <c r="F15" s="31" t="n">
        <f aca="false">Forecast!G21</f>
        <v>12476.8011946174</v>
      </c>
      <c r="G15" s="31" t="n">
        <f aca="false">Forecast!H21</f>
        <v>13165.2184775278</v>
      </c>
    </row>
    <row r="16" customFormat="false" ht="15" hidden="false" customHeight="false" outlineLevel="0" collapsed="false">
      <c r="A16" s="6" t="s">
        <v>351</v>
      </c>
      <c r="C16" s="23" t="n">
        <f aca="false">C15*$B$11</f>
        <v>2648.63336401996</v>
      </c>
      <c r="D16" s="23" t="n">
        <f aca="false">D15*$B$11</f>
        <v>2883.21568525451</v>
      </c>
      <c r="E16" s="23" t="n">
        <f aca="false">E15*$B$11</f>
        <v>3065.9139847411</v>
      </c>
      <c r="F16" s="23" t="n">
        <f aca="false">F15*$B$11</f>
        <v>3243.96831060052</v>
      </c>
      <c r="G16" s="23" t="n">
        <f aca="false">G15*$B$11</f>
        <v>3422.95680415723</v>
      </c>
    </row>
    <row r="17" customFormat="false" ht="15" hidden="false" customHeight="false" outlineLevel="0" collapsed="false">
      <c r="A17" s="6" t="s">
        <v>352</v>
      </c>
      <c r="C17" s="23" t="n">
        <f aca="false">C15-C16</f>
        <v>7538.4180360568</v>
      </c>
      <c r="D17" s="23" t="n">
        <f aca="false">D15-D16</f>
        <v>8206.07541187821</v>
      </c>
      <c r="E17" s="23" t="n">
        <f aca="false">E15-E16</f>
        <v>8726.06287964776</v>
      </c>
      <c r="F17" s="23" t="n">
        <f aca="false">F15-F16</f>
        <v>9232.83288401687</v>
      </c>
      <c r="G17" s="23" t="n">
        <f aca="false">G15-G16</f>
        <v>9742.26167337057</v>
      </c>
    </row>
    <row r="18" customFormat="false" ht="15" hidden="false" customHeight="false" outlineLevel="0" collapsed="false">
      <c r="A18" s="6" t="s">
        <v>353</v>
      </c>
      <c r="C18" s="31" t="n">
        <f aca="false">Forecast!D29</f>
        <v>2438.688</v>
      </c>
      <c r="D18" s="31" t="n">
        <f aca="false">Forecast!E29</f>
        <v>2653.838208</v>
      </c>
      <c r="E18" s="31" t="n">
        <f aca="false">Forecast!F29</f>
        <v>2886.38031152918</v>
      </c>
      <c r="F18" s="31" t="n">
        <f aca="false">Forecast!G29</f>
        <v>3128.72414507718</v>
      </c>
      <c r="G18" s="31" t="n">
        <f aca="false">Forecast!H29</f>
        <v>3379.21174085305</v>
      </c>
    </row>
    <row r="19" customFormat="false" ht="15" hidden="false" customHeight="false" outlineLevel="0" collapsed="false">
      <c r="A19" s="6" t="s">
        <v>354</v>
      </c>
      <c r="C19" s="31" t="n">
        <f aca="false">Forecast!D62</f>
        <v>5000</v>
      </c>
      <c r="D19" s="31" t="n">
        <f aca="false">Forecast!E62</f>
        <v>5422.19658334736</v>
      </c>
      <c r="E19" s="31" t="n">
        <f aca="false">Forecast!F62</f>
        <v>5771.42594900538</v>
      </c>
      <c r="F19" s="31" t="n">
        <f aca="false">Forecast!G62</f>
        <v>6110.71933288513</v>
      </c>
      <c r="G19" s="31" t="n">
        <f aca="false">Forecast!H62</f>
        <v>6466.29382917759</v>
      </c>
    </row>
    <row r="20" customFormat="false" ht="15" hidden="false" customHeight="false" outlineLevel="0" collapsed="false">
      <c r="A20" s="6" t="s">
        <v>355</v>
      </c>
      <c r="C20" s="31" t="n">
        <f aca="false">Forecast!D60</f>
        <v>1015.3341624975</v>
      </c>
      <c r="D20" s="31" t="n">
        <f aca="false">Forecast!E60</f>
        <v>1035.32941877774</v>
      </c>
      <c r="E20" s="31" t="n">
        <f aca="false">Forecast!F60</f>
        <v>915.557091234787</v>
      </c>
      <c r="F20" s="31" t="n">
        <f aca="false">Forecast!G60</f>
        <v>890.632407949081</v>
      </c>
      <c r="G20" s="31" t="n">
        <f aca="false">Forecast!H60</f>
        <v>917.930688516448</v>
      </c>
    </row>
    <row r="21" customFormat="false" ht="15" hidden="false" customHeight="false" outlineLevel="0" collapsed="false">
      <c r="A21" s="12" t="s">
        <v>356</v>
      </c>
      <c r="C21" s="36" t="n">
        <f aca="false">C17+C18-C19+C20</f>
        <v>5992.4401985543</v>
      </c>
      <c r="D21" s="36" t="n">
        <f aca="false">D17+D18-D19+D20</f>
        <v>6473.04645530859</v>
      </c>
      <c r="E21" s="36" t="n">
        <f aca="false">E17+E18-E19+E20</f>
        <v>6756.57433340635</v>
      </c>
      <c r="F21" s="36" t="n">
        <f aca="false">F17+F18-F19+F20</f>
        <v>7141.47010415799</v>
      </c>
      <c r="G21" s="36" t="n">
        <f aca="false">G17+G18-G19+G20</f>
        <v>7573.11027356248</v>
      </c>
    </row>
    <row r="22" customFormat="false" ht="15" hidden="false" customHeight="false" outlineLevel="0" collapsed="false">
      <c r="A22" s="6" t="s">
        <v>357</v>
      </c>
      <c r="C22" s="42" t="n">
        <f aca="false">(C14-$B$6)/(C14-$B$7+1)</f>
        <v>0.769230769230769</v>
      </c>
      <c r="D22" s="30" t="n">
        <v>1</v>
      </c>
      <c r="E22" s="30" t="n">
        <v>1</v>
      </c>
      <c r="F22" s="30" t="n">
        <v>1</v>
      </c>
      <c r="G22" s="30" t="n">
        <v>1</v>
      </c>
    </row>
    <row r="23" customFormat="false" ht="15" hidden="false" customHeight="false" outlineLevel="0" collapsed="false">
      <c r="A23" s="6" t="s">
        <v>358</v>
      </c>
      <c r="C23" s="50" t="n">
        <f aca="false">$B$6</f>
        <v>45620</v>
      </c>
      <c r="D23" s="50" t="n">
        <f aca="false">C14</f>
        <v>45900</v>
      </c>
      <c r="E23" s="50" t="n">
        <f aca="false">D14</f>
        <v>46264</v>
      </c>
      <c r="F23" s="50" t="n">
        <f aca="false">E14</f>
        <v>46628</v>
      </c>
      <c r="G23" s="50" t="n">
        <f aca="false">F14</f>
        <v>46999</v>
      </c>
    </row>
    <row r="24" customFormat="false" ht="15" hidden="false" customHeight="false" outlineLevel="0" collapsed="false">
      <c r="A24" s="6" t="s">
        <v>359</v>
      </c>
      <c r="C24" s="50" t="n">
        <f aca="false">C23+INT((C14-C23)/2)</f>
        <v>45760</v>
      </c>
      <c r="D24" s="50" t="n">
        <f aca="false">D23+INT((D14-D23)/2)</f>
        <v>46082</v>
      </c>
      <c r="E24" s="50" t="n">
        <f aca="false">E23+INT((E14-E23)/2)</f>
        <v>46446</v>
      </c>
      <c r="F24" s="50" t="n">
        <f aca="false">F23+INT((F14-F23)/2)</f>
        <v>46813</v>
      </c>
      <c r="G24" s="50" t="n">
        <f aca="false">G23+INT((G14-G23)/2)</f>
        <v>47181</v>
      </c>
    </row>
    <row r="25" customFormat="false" ht="15" hidden="false" customHeight="false" outlineLevel="0" collapsed="false">
      <c r="A25" s="6" t="s">
        <v>360</v>
      </c>
      <c r="C25" s="42" t="n">
        <f aca="false">MAX((C24-$B$5)/365.25,0)</f>
        <v>0.197125256673511</v>
      </c>
      <c r="D25" s="42" t="n">
        <f aca="false">MAX((D24-$B$5)/365.25,0)</f>
        <v>1.07871321013005</v>
      </c>
      <c r="E25" s="42" t="n">
        <f aca="false">MAX((E24-$B$5)/365.25,0)</f>
        <v>2.07529089664613</v>
      </c>
      <c r="F25" s="42" t="n">
        <f aca="false">MAX((F24-$B$5)/365.25,0)</f>
        <v>3.08008213552361</v>
      </c>
      <c r="G25" s="42" t="n">
        <f aca="false">MAX((G24-$B$5)/365.25,0)</f>
        <v>4.08761122518823</v>
      </c>
    </row>
    <row r="26" customFormat="false" ht="15" hidden="false" customHeight="false" outlineLevel="0" collapsed="false">
      <c r="A26" s="6" t="s">
        <v>361</v>
      </c>
      <c r="C26" s="23" t="n">
        <f aca="false">C21*C22</f>
        <v>4609.56938350331</v>
      </c>
      <c r="D26" s="23" t="n">
        <f aca="false">D21*D22</f>
        <v>6473.04645530859</v>
      </c>
      <c r="E26" s="23" t="n">
        <f aca="false">E21*E22</f>
        <v>6756.57433340635</v>
      </c>
      <c r="F26" s="23" t="n">
        <f aca="false">F21*F22</f>
        <v>7141.47010415799</v>
      </c>
      <c r="G26" s="23" t="n">
        <f aca="false">G21*G22</f>
        <v>7573.11027356248</v>
      </c>
    </row>
    <row r="27" customFormat="false" ht="15" hidden="false" customHeight="false" outlineLevel="0" collapsed="false">
      <c r="A27" s="6" t="s">
        <v>362</v>
      </c>
      <c r="C27" s="51" t="n">
        <f aca="false">1/(1+$B$8)^C25</f>
        <v>0.984257382818473</v>
      </c>
      <c r="D27" s="51" t="n">
        <f aca="false">1/(1+$B$8)^D25</f>
        <v>0.91683075120739</v>
      </c>
      <c r="E27" s="51" t="n">
        <f aca="false">1/(1+$B$8)^E25</f>
        <v>0.846154611677053</v>
      </c>
      <c r="F27" s="51" t="n">
        <f aca="false">1/(1+$B$8)^F25</f>
        <v>0.780410567993158</v>
      </c>
      <c r="G27" s="51" t="n">
        <f aca="false">1/(1+$B$8)^G25</f>
        <v>0.719616056584267</v>
      </c>
    </row>
    <row r="28" customFormat="false" ht="15" hidden="false" customHeight="false" outlineLevel="0" collapsed="false">
      <c r="A28" s="12" t="s">
        <v>363</v>
      </c>
      <c r="C28" s="36" t="n">
        <f aca="false">C26*C27</f>
        <v>4537.00269732713</v>
      </c>
      <c r="D28" s="36" t="n">
        <f aca="false">D26*D27</f>
        <v>5934.68804422091</v>
      </c>
      <c r="E28" s="36" t="n">
        <f aca="false">E26*E27</f>
        <v>5717.10653135059</v>
      </c>
      <c r="F28" s="36" t="n">
        <f aca="false">F26*F27</f>
        <v>5573.2787402921</v>
      </c>
      <c r="G28" s="36" t="n">
        <f aca="false">G26*G27</f>
        <v>5449.73175113883</v>
      </c>
    </row>
    <row r="29" customFormat="false" ht="15" hidden="false" customHeight="false" outlineLevel="0" collapsed="false">
      <c r="A29" s="6" t="s">
        <v>222</v>
      </c>
      <c r="C29" s="31" t="n">
        <f aca="false">Forecast!D30</f>
        <v>12625.7394000768</v>
      </c>
      <c r="D29" s="31" t="n">
        <f aca="false">Forecast!E30</f>
        <v>13743.1293051327</v>
      </c>
      <c r="E29" s="31" t="n">
        <f aca="false">Forecast!F30</f>
        <v>14678.357175918</v>
      </c>
      <c r="F29" s="31" t="n">
        <f aca="false">Forecast!G30</f>
        <v>15605.5253396946</v>
      </c>
      <c r="G29" s="31" t="n">
        <f aca="false">Forecast!H30</f>
        <v>16544.4302183808</v>
      </c>
    </row>
    <row r="31" customFormat="false" ht="15" hidden="false" customHeight="false" outlineLevel="0" collapsed="false">
      <c r="A31" s="4" t="s">
        <v>364</v>
      </c>
      <c r="B31" s="5"/>
    </row>
    <row r="32" customFormat="false" ht="15" hidden="false" customHeight="false" outlineLevel="0" collapsed="false">
      <c r="A32" s="6" t="s">
        <v>365</v>
      </c>
      <c r="B32" s="23" t="n">
        <f aca="false">G15*(1+$B$9)*(1-$B$11)</f>
        <v>10034.5295235717</v>
      </c>
    </row>
    <row r="33" customFormat="false" ht="15" hidden="false" customHeight="false" outlineLevel="0" collapsed="false">
      <c r="A33" s="6" t="s">
        <v>366</v>
      </c>
      <c r="B33" s="21" t="n">
        <f aca="false">$B$9/$B$10</f>
        <v>0.12</v>
      </c>
    </row>
    <row r="34" customFormat="false" ht="15" hidden="false" customHeight="false" outlineLevel="0" collapsed="false">
      <c r="A34" s="6" t="s">
        <v>367</v>
      </c>
      <c r="B34" s="23" t="n">
        <f aca="false">B32*(1-B33)</f>
        <v>8830.38598074308</v>
      </c>
    </row>
    <row r="35" customFormat="false" ht="15" hidden="false" customHeight="false" outlineLevel="0" collapsed="false">
      <c r="A35" s="6" t="s">
        <v>368</v>
      </c>
      <c r="B35" s="23" t="n">
        <f aca="false">B34/($B$8-$B$9)</f>
        <v>164057.925351903</v>
      </c>
    </row>
    <row r="36" customFormat="false" ht="15" hidden="false" customHeight="false" outlineLevel="0" collapsed="false">
      <c r="A36" s="6" t="s">
        <v>369</v>
      </c>
      <c r="B36" s="23" t="n">
        <f aca="false">B35/(1+$B$8)^G25</f>
        <v>118058.717293132</v>
      </c>
    </row>
    <row r="37" customFormat="false" ht="15" hidden="false" customHeight="false" outlineLevel="0" collapsed="false">
      <c r="A37" s="4" t="s">
        <v>370</v>
      </c>
      <c r="B37" s="5"/>
    </row>
    <row r="38" customFormat="false" ht="15" hidden="false" customHeight="false" outlineLevel="0" collapsed="false">
      <c r="A38" s="6" t="s">
        <v>371</v>
      </c>
      <c r="B38" s="23" t="n">
        <f aca="false">SUM(C28:G28)</f>
        <v>27211.8077643295</v>
      </c>
    </row>
    <row r="39" customFormat="false" ht="15" hidden="false" customHeight="false" outlineLevel="0" collapsed="false">
      <c r="A39" s="6" t="s">
        <v>372</v>
      </c>
      <c r="B39" s="23" t="n">
        <f aca="false">B36</f>
        <v>118058.717293132</v>
      </c>
    </row>
    <row r="40" customFormat="false" ht="15" hidden="false" customHeight="false" outlineLevel="0" collapsed="false">
      <c r="A40" s="12" t="s">
        <v>373</v>
      </c>
      <c r="B40" s="36" t="n">
        <f aca="false">B38+B39</f>
        <v>145270.525057462</v>
      </c>
    </row>
    <row r="41" customFormat="false" ht="15" hidden="false" customHeight="false" outlineLevel="0" collapsed="false">
      <c r="A41" s="6" t="s">
        <v>374</v>
      </c>
      <c r="B41" s="21" t="n">
        <f aca="false">B39/B40</f>
        <v>0.812681837877533</v>
      </c>
    </row>
    <row r="42" customFormat="false" ht="15" hidden="false" customHeight="false" outlineLevel="0" collapsed="false">
      <c r="A42" s="6" t="s">
        <v>375</v>
      </c>
      <c r="B42" s="18" t="n">
        <v>10907</v>
      </c>
      <c r="C42" s="3" t="s">
        <v>376</v>
      </c>
    </row>
    <row r="43" customFormat="false" ht="15" hidden="false" customHeight="false" outlineLevel="0" collapsed="false">
      <c r="A43" s="6" t="s">
        <v>377</v>
      </c>
      <c r="B43" s="18" t="n">
        <v>920</v>
      </c>
      <c r="C43" s="3" t="s">
        <v>376</v>
      </c>
    </row>
    <row r="44" customFormat="false" ht="15" hidden="false" customHeight="false" outlineLevel="0" collapsed="false">
      <c r="A44" s="6" t="s">
        <v>378</v>
      </c>
      <c r="B44" s="18" t="n">
        <v>5842</v>
      </c>
      <c r="C44" s="3" t="s">
        <v>379</v>
      </c>
    </row>
    <row r="45" customFormat="false" ht="15" hidden="false" customHeight="false" outlineLevel="0" collapsed="false">
      <c r="A45" s="6" t="s">
        <v>380</v>
      </c>
      <c r="B45" s="31" t="n">
        <f aca="false">WACC!$B$23</f>
        <v>1498</v>
      </c>
    </row>
    <row r="46" customFormat="false" ht="15" hidden="false" customHeight="false" outlineLevel="0" collapsed="false">
      <c r="A46" s="12" t="s">
        <v>381</v>
      </c>
      <c r="B46" s="36" t="n">
        <f aca="false">B40+B42+B43-B44-B45</f>
        <v>149757.525057462</v>
      </c>
    </row>
    <row r="47" customFormat="false" ht="15" hidden="false" customHeight="false" outlineLevel="0" collapsed="false">
      <c r="A47" s="6" t="s">
        <v>219</v>
      </c>
      <c r="B47" s="33" t="n">
        <f aca="false">WACC!$B$20</f>
        <v>444.80187</v>
      </c>
    </row>
    <row r="48" customFormat="false" ht="15" hidden="false" customHeight="false" outlineLevel="0" collapsed="false">
      <c r="A48" s="12" t="s">
        <v>382</v>
      </c>
      <c r="B48" s="52" t="n">
        <f aca="false">B46/B47</f>
        <v>336.683667848478</v>
      </c>
    </row>
    <row r="49" customFormat="false" ht="15" hidden="false" customHeight="false" outlineLevel="0" collapsed="false">
      <c r="A49" s="6" t="s">
        <v>383</v>
      </c>
      <c r="B49" s="38" t="n">
        <f aca="false">WACC!$B$17</f>
        <v>979.88</v>
      </c>
    </row>
    <row r="50" customFormat="false" ht="15" hidden="false" customHeight="false" outlineLevel="0" collapsed="false">
      <c r="A50" s="6" t="s">
        <v>10</v>
      </c>
      <c r="B50" s="21" t="n">
        <f aca="false">B48/B49-1</f>
        <v>-0.656403163807326</v>
      </c>
    </row>
    <row r="51" customFormat="false" ht="15" hidden="false" customHeight="false" outlineLevel="0" collapsed="false">
      <c r="A51" s="6" t="s">
        <v>384</v>
      </c>
      <c r="B51" s="53" t="n">
        <f aca="false">B35/G29</f>
        <v>9.91620280580194</v>
      </c>
    </row>
    <row r="52" customFormat="false" ht="15" hidden="false" customHeight="false" outlineLevel="0" collapsed="false">
      <c r="A52" s="6" t="s">
        <v>385</v>
      </c>
      <c r="B52" s="23" t="n">
        <f aca="false">B42+B43-B44-B45</f>
        <v>4487</v>
      </c>
    </row>
    <row r="53" customFormat="false" ht="15" hidden="false" customHeight="false" outlineLevel="0" collapsed="false">
      <c r="A53" s="6" t="s">
        <v>386</v>
      </c>
      <c r="B53" s="23" t="n">
        <f aca="false">WACC!$B$21-B52</f>
        <v>431365.4563756</v>
      </c>
    </row>
    <row r="54" customFormat="false" ht="15" hidden="false" customHeight="false" outlineLevel="0" collapsed="false">
      <c r="A54" s="6" t="s">
        <v>387</v>
      </c>
      <c r="B54" s="53" t="n">
        <f aca="false">B53/C29</f>
        <v>34.1655599491446</v>
      </c>
    </row>
    <row r="55" customFormat="false" ht="15" hidden="false" customHeight="false" outlineLevel="0" collapsed="false">
      <c r="A55" s="6" t="s">
        <v>388</v>
      </c>
      <c r="B55" s="29" t="n">
        <v>0.070525</v>
      </c>
      <c r="C55" s="3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390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391</v>
      </c>
    </row>
    <row r="5" customFormat="false" ht="15" hidden="false" customHeight="false" outlineLevel="0" collapsed="false">
      <c r="A5" s="3" t="s">
        <v>392</v>
      </c>
    </row>
    <row r="7" customFormat="false" ht="15" hidden="false" customHeight="false" outlineLevel="0" collapsed="false">
      <c r="A7" s="40" t="s">
        <v>393</v>
      </c>
    </row>
    <row r="8" customFormat="false" ht="15" hidden="false" customHeight="false" outlineLevel="0" collapsed="false">
      <c r="A8" s="3" t="s">
        <v>394</v>
      </c>
    </row>
    <row r="9" customFormat="false" ht="15" hidden="false" customHeight="false" outlineLevel="0" collapsed="false">
      <c r="B9" s="54" t="n">
        <v>0.02</v>
      </c>
      <c r="C9" s="54" t="n">
        <v>0.025</v>
      </c>
      <c r="D9" s="54" t="n">
        <v>0.03</v>
      </c>
      <c r="E9" s="54" t="n">
        <v>0.035</v>
      </c>
      <c r="F9" s="54" t="n">
        <v>0.04</v>
      </c>
    </row>
    <row r="10" customFormat="false" ht="15" hidden="false" customHeight="false" outlineLevel="0" collapsed="false">
      <c r="A10" s="55" t="n">
        <f aca="false">DCF!$B$8-0.01</f>
        <v>0.0738248058531887</v>
      </c>
      <c r="B10" s="56" t="n">
        <f aca="false">(SUMPRODUCT(DCF!$C$26:$G$26,(1+$A10)^(-DCF!$C$25:$G$25))+DCF!$G$15*(1+B$9)*(1-DCF!$B$11)*(1-B$9/DCF!$B$10)/($A10-B$9)/(1+$A10)^DCF!$G$25+DCF!$B$52)/DCF!$B$47</f>
        <v>357.903999636959</v>
      </c>
      <c r="C10" s="56" t="n">
        <f aca="false">(SUMPRODUCT(DCF!$C$26:$G$26,(1+$A10)^(-DCF!$C$25:$G$25))+DCF!$G$15*(1+C$9)*(1-DCF!$B$11)*(1-C$9/DCF!$B$10)/($A10-C$9)/(1+$A10)^DCF!$G$25+DCF!$B$52)/DCF!$B$47</f>
        <v>381.800040582807</v>
      </c>
      <c r="D10" s="56" t="n">
        <f aca="false">(SUMPRODUCT(DCF!$C$26:$G$26,(1+$A10)^(-DCF!$C$25:$G$25))+DCF!$G$15*(1+D$9)*(1-DCF!$B$11)*(1-D$9/DCF!$B$10)/($A10-D$9)/(1+$A10)^DCF!$G$25+DCF!$B$52)/DCF!$B$47</f>
        <v>411.074003914822</v>
      </c>
      <c r="E10" s="56" t="n">
        <f aca="false">(SUMPRODUCT(DCF!$C$26:$G$26,(1+$A10)^(-DCF!$C$25:$G$25))+DCF!$G$15*(1+E$9)*(1-DCF!$B$11)*(1-E$9/DCF!$B$10)/($A10-E$9)/(1+$A10)^DCF!$G$25+DCF!$B$52)/DCF!$B$47</f>
        <v>447.803654969361</v>
      </c>
      <c r="F10" s="56" t="n">
        <f aca="false">(SUMPRODUCT(DCF!$C$26:$G$26,(1+$A10)^(-DCF!$C$25:$G$25))+DCF!$G$15*(1+F$9)*(1-DCF!$B$11)*(1-F$9/DCF!$B$10)/($A10-F$9)/(1+$A10)^DCF!$G$25+DCF!$B$52)/DCF!$B$47</f>
        <v>495.295304396757</v>
      </c>
    </row>
    <row r="11" customFormat="false" ht="15" hidden="false" customHeight="false" outlineLevel="0" collapsed="false">
      <c r="A11" s="55" t="n">
        <f aca="false">DCF!$B$8-0.005</f>
        <v>0.0788248058531887</v>
      </c>
      <c r="B11" s="56" t="n">
        <f aca="false">(SUMPRODUCT(DCF!$C$26:$G$26,(1+$A11)^(-DCF!$C$25:$G$25))+DCF!$G$15*(1+B$9)*(1-DCF!$B$11)*(1-B$9/DCF!$B$10)/($A11-B$9)/(1+$A11)^DCF!$G$25+DCF!$B$52)/DCF!$B$47</f>
        <v>328.108546726339</v>
      </c>
      <c r="C11" s="56" t="n">
        <f aca="false">(SUMPRODUCT(DCF!$C$26:$G$26,(1+$A11)^(-DCF!$C$25:$G$25))+DCF!$G$15*(1+C$9)*(1-DCF!$B$11)*(1-C$9/DCF!$B$10)/($A11-C$9)/(1+$A11)^DCF!$G$25+DCF!$B$52)/DCF!$B$47</f>
        <v>347.165983784798</v>
      </c>
      <c r="D11" s="56" t="n">
        <f aca="false">(SUMPRODUCT(DCF!$C$26:$G$26,(1+$A11)^(-DCF!$C$25:$G$25))+DCF!$G$15*(1+D$9)*(1-DCF!$B$11)*(1-D$9/DCF!$B$10)/($A11-D$9)/(1+$A11)^DCF!$G$25+DCF!$B$52)/DCF!$B$47</f>
        <v>370.060854400481</v>
      </c>
      <c r="E11" s="56" t="n">
        <f aca="false">(SUMPRODUCT(DCF!$C$26:$G$26,(1+$A11)^(-DCF!$C$25:$G$25))+DCF!$G$15*(1+E$9)*(1-DCF!$B$11)*(1-E$9/DCF!$B$10)/($A11-E$9)/(1+$A11)^DCF!$G$25+DCF!$B$52)/DCF!$B$47</f>
        <v>398.106604286104</v>
      </c>
      <c r="F11" s="56" t="n">
        <f aca="false">(SUMPRODUCT(DCF!$C$26:$G$26,(1+$A11)^(-DCF!$C$25:$G$25))+DCF!$G$15*(1+F$9)*(1-DCF!$B$11)*(1-F$9/DCF!$B$10)/($A11-F$9)/(1+$A11)^DCF!$G$25+DCF!$B$52)/DCF!$B$47</f>
        <v>433.293280458029</v>
      </c>
    </row>
    <row r="12" customFormat="false" ht="15" hidden="false" customHeight="false" outlineLevel="0" collapsed="false">
      <c r="A12" s="55" t="n">
        <f aca="false">DCF!$B$8</f>
        <v>0.0838248058531887</v>
      </c>
      <c r="B12" s="56" t="n">
        <f aca="false">(SUMPRODUCT(DCF!$C$26:$G$26,(1+$A12)^(-DCF!$C$25:$G$25))+DCF!$G$15*(1+B$9)*(1-DCF!$B$11)*(1-B$9/DCF!$B$10)/($A12-B$9)/(1+$A12)^DCF!$G$25+DCF!$B$52)/DCF!$B$47</f>
        <v>303.000483449761</v>
      </c>
      <c r="C12" s="56" t="n">
        <f aca="false">(SUMPRODUCT(DCF!$C$26:$G$26,(1+$A12)^(-DCF!$C$25:$G$25))+DCF!$G$15*(1+C$9)*(1-DCF!$B$11)*(1-C$9/DCF!$B$10)/($A12-C$9)/(1+$A12)^DCF!$G$25+DCF!$B$52)/DCF!$B$47</f>
        <v>318.437365126815</v>
      </c>
      <c r="D12" s="57" t="n">
        <f aca="false">(SUMPRODUCT(DCF!$C$26:$G$26,(1+$A12)^(-DCF!$C$25:$G$25))+DCF!$G$15*(1+D$9)*(1-DCF!$B$11)*(1-D$9/DCF!$B$10)/($A12-D$9)/(1+$A12)^DCF!$G$25+DCF!$B$52)/DCF!$B$47</f>
        <v>336.683667848478</v>
      </c>
      <c r="E12" s="56" t="n">
        <f aca="false">(SUMPRODUCT(DCF!$C$26:$G$26,(1+$A12)^(-DCF!$C$25:$G$25))+DCF!$G$15*(1+E$9)*(1-DCF!$B$11)*(1-E$9/DCF!$B$10)/($A12-E$9)/(1+$A12)^DCF!$G$25+DCF!$B$52)/DCF!$B$47</f>
        <v>358.602504430718</v>
      </c>
      <c r="F12" s="56" t="n">
        <f aca="false">(SUMPRODUCT(DCF!$C$26:$G$26,(1+$A12)^(-DCF!$C$25:$G$25))+DCF!$G$15*(1+F$9)*(1-DCF!$B$11)*(1-F$9/DCF!$B$10)/($A12-F$9)/(1+$A12)^DCF!$G$25+DCF!$B$52)/DCF!$B$47</f>
        <v>385.450880052138</v>
      </c>
    </row>
    <row r="13" customFormat="false" ht="15" hidden="false" customHeight="false" outlineLevel="0" collapsed="false">
      <c r="A13" s="55" t="n">
        <f aca="false">DCF!$B$8+0.005</f>
        <v>0.0888248058531887</v>
      </c>
      <c r="B13" s="56" t="n">
        <f aca="false">(SUMPRODUCT(DCF!$C$26:$G$26,(1+$A13)^(-DCF!$C$25:$G$25))+DCF!$G$15*(1+B$9)*(1-DCF!$B$11)*(1-B$9/DCF!$B$10)/($A13-B$9)/(1+$A13)^DCF!$G$25+DCF!$B$52)/DCF!$B$47</f>
        <v>281.557728421472</v>
      </c>
      <c r="C13" s="56" t="n">
        <f aca="false">(SUMPRODUCT(DCF!$C$26:$G$26,(1+$A13)^(-DCF!$C$25:$G$25))+DCF!$G$15*(1+C$9)*(1-DCF!$B$11)*(1-C$9/DCF!$B$10)/($A13-C$9)/(1+$A13)^DCF!$G$25+DCF!$B$52)/DCF!$B$47</f>
        <v>294.22584153849</v>
      </c>
      <c r="D13" s="56" t="n">
        <f aca="false">(SUMPRODUCT(DCF!$C$26:$G$26,(1+$A13)^(-DCF!$C$25:$G$25))+DCF!$G$15*(1+D$9)*(1-DCF!$B$11)*(1-D$9/DCF!$B$10)/($A13-D$9)/(1+$A13)^DCF!$G$25+DCF!$B$52)/DCF!$B$47</f>
        <v>308.994898420695</v>
      </c>
      <c r="E13" s="56" t="n">
        <f aca="false">(SUMPRODUCT(DCF!$C$26:$G$26,(1+$A13)^(-DCF!$C$25:$G$25))+DCF!$G$15*(1+E$9)*(1-DCF!$B$11)*(1-E$9/DCF!$B$10)/($A13-E$9)/(1+$A13)^DCF!$G$25+DCF!$B$52)/DCF!$B$47</f>
        <v>326.450394101058</v>
      </c>
      <c r="F13" s="56" t="n">
        <f aca="false">(SUMPRODUCT(DCF!$C$26:$G$26,(1+$A13)^(-DCF!$C$25:$G$25))+DCF!$G$15*(1+F$9)*(1-DCF!$B$11)*(1-F$9/DCF!$B$10)/($A13-F$9)/(1+$A13)^DCF!$G$25+DCF!$B$52)/DCF!$B$47</f>
        <v>347.417658681118</v>
      </c>
    </row>
    <row r="14" customFormat="false" ht="15" hidden="false" customHeight="false" outlineLevel="0" collapsed="false">
      <c r="A14" s="55" t="n">
        <f aca="false">DCF!$B$8+0.01</f>
        <v>0.0938248058531887</v>
      </c>
      <c r="B14" s="56" t="n">
        <f aca="false">(SUMPRODUCT(DCF!$C$26:$G$26,(1+$A14)^(-DCF!$C$25:$G$25))+DCF!$G$15*(1+B$9)*(1-DCF!$B$11)*(1-B$9/DCF!$B$10)/($A14-B$9)/(1+$A14)^DCF!$G$25+DCF!$B$52)/DCF!$B$47</f>
        <v>263.035108449863</v>
      </c>
      <c r="C14" s="56" t="n">
        <f aca="false">(SUMPRODUCT(DCF!$C$26:$G$26,(1+$A14)^(-DCF!$C$25:$G$25))+DCF!$G$15*(1+C$9)*(1-DCF!$B$11)*(1-C$9/DCF!$B$10)/($A14-C$9)/(1+$A14)^DCF!$G$25+DCF!$B$52)/DCF!$B$47</f>
        <v>273.546526007043</v>
      </c>
      <c r="D14" s="56" t="n">
        <f aca="false">(SUMPRODUCT(DCF!$C$26:$G$26,(1+$A14)^(-DCF!$C$25:$G$25))+DCF!$G$15*(1+D$9)*(1-DCF!$B$11)*(1-D$9/DCF!$B$10)/($A14-D$9)/(1+$A14)^DCF!$G$25+DCF!$B$52)/DCF!$B$47</f>
        <v>285.657291150351</v>
      </c>
      <c r="E14" s="56" t="n">
        <f aca="false">(SUMPRODUCT(DCF!$C$26:$G$26,(1+$A14)^(-DCF!$C$25:$G$25))+DCF!$G$15*(1+E$9)*(1-DCF!$B$11)*(1-E$9/DCF!$B$10)/($A14-E$9)/(1+$A14)^DCF!$G$25+DCF!$B$52)/DCF!$B$47</f>
        <v>299.775228664656</v>
      </c>
      <c r="F14" s="56" t="n">
        <f aca="false">(SUMPRODUCT(DCF!$C$26:$G$26,(1+$A14)^(-DCF!$C$25:$G$25))+DCF!$G$15*(1+F$9)*(1-DCF!$B$11)*(1-F$9/DCF!$B$10)/($A14-F$9)/(1+$A14)^DCF!$G$25+DCF!$B$52)/DCF!$B$47</f>
        <v>316.459701191172</v>
      </c>
    </row>
    <row r="16" customFormat="false" ht="15" hidden="false" customHeight="false" outlineLevel="0" collapsed="false">
      <c r="A16" s="40" t="s">
        <v>395</v>
      </c>
    </row>
    <row r="17" customFormat="false" ht="15" hidden="false" customHeight="false" outlineLevel="0" collapsed="false">
      <c r="A17" s="3" t="s">
        <v>396</v>
      </c>
    </row>
    <row r="18" customFormat="false" ht="15" hidden="false" customHeight="false" outlineLevel="0" collapsed="false">
      <c r="B18" s="54" t="n">
        <v>0.02</v>
      </c>
      <c r="C18" s="54" t="n">
        <v>0.025</v>
      </c>
      <c r="D18" s="54" t="n">
        <v>0.03</v>
      </c>
      <c r="E18" s="54" t="n">
        <v>0.035</v>
      </c>
      <c r="F18" s="54" t="n">
        <v>0.04</v>
      </c>
    </row>
    <row r="19" customFormat="false" ht="15" hidden="false" customHeight="false" outlineLevel="0" collapsed="false">
      <c r="A19" s="54" t="n">
        <v>0.15</v>
      </c>
      <c r="B19" s="56" t="n">
        <f aca="false">(SUMPRODUCT(DCF!$C$26:$G$26,(1+DCF!$B$8)^(-DCF!$C$25:$G$25))+DCF!$G$15*(1+B$18)*(1-DCF!$B$11)*(1-B$18/$A19)/(DCF!$B$8-B$18)/(1+DCF!$B$8)^DCF!$G$25+DCF!$B$52)/DCF!$B$47</f>
        <v>289.566542705876</v>
      </c>
      <c r="C19" s="56" t="n">
        <f aca="false">(SUMPRODUCT(DCF!$C$26:$G$26,(1+DCF!$B$8)^(-DCF!$C$25:$G$25))+DCF!$G$15*(1+C$18)*(1-DCF!$B$11)*(1-C$18/$A19)/(DCF!$B$8-C$18)/(1+DCF!$B$8)^DCF!$G$25+DCF!$B$52)/DCF!$B$47</f>
        <v>300.128301459476</v>
      </c>
      <c r="D19" s="56" t="n">
        <f aca="false">(SUMPRODUCT(DCF!$C$26:$G$26,(1+DCF!$B$8)^(-DCF!$C$25:$G$25))+DCF!$G$15*(1+D$18)*(1-DCF!$B$11)*(1-D$18/$A19)/(DCF!$B$8-D$18)/(1+DCF!$B$8)^DCF!$G$25+DCF!$B$52)/DCF!$B$47</f>
        <v>312.554698554774</v>
      </c>
      <c r="E19" s="56" t="n">
        <f aca="false">(SUMPRODUCT(DCF!$C$26:$G$26,(1+DCF!$B$8)^(-DCF!$C$25:$G$25))+DCF!$G$15*(1+E$18)*(1-DCF!$B$11)*(1-E$18/$A19)/(DCF!$B$8-E$18)/(1+DCF!$B$8)^DCF!$G$25+DCF!$B$52)/DCF!$B$47</f>
        <v>327.418589830859</v>
      </c>
      <c r="F19" s="56" t="n">
        <f aca="false">(SUMPRODUCT(DCF!$C$26:$G$26,(1+DCF!$B$8)^(-DCF!$C$25:$G$25))+DCF!$G$15*(1+F$18)*(1-DCF!$B$11)*(1-F$18/$A19)/(DCF!$B$8-F$18)/(1+DCF!$B$8)^DCF!$G$25+DCF!$B$52)/DCF!$B$47</f>
        <v>345.554261076341</v>
      </c>
    </row>
    <row r="20" customFormat="false" ht="15" hidden="false" customHeight="false" outlineLevel="0" collapsed="false">
      <c r="A20" s="54" t="n">
        <v>0.2</v>
      </c>
      <c r="B20" s="56" t="n">
        <f aca="false">(SUMPRODUCT(DCF!$C$26:$G$26,(1+DCF!$B$8)^(-DCF!$C$25:$G$25))+DCF!$G$15*(1+B$18)*(1-DCF!$B$11)*(1-B$18/$A20)/(DCF!$B$8-B$18)/(1+DCF!$B$8)^DCF!$G$25+DCF!$B$52)/DCF!$B$47</f>
        <v>297.962755670804</v>
      </c>
      <c r="C20" s="56" t="n">
        <f aca="false">(SUMPRODUCT(DCF!$C$26:$G$26,(1+DCF!$B$8)^(-DCF!$C$25:$G$25))+DCF!$G$15*(1+C$18)*(1-DCF!$B$11)*(1-C$18/$A20)/(DCF!$B$8-C$18)/(1+DCF!$B$8)^DCF!$G$25+DCF!$B$52)/DCF!$B$47</f>
        <v>311.571466251563</v>
      </c>
      <c r="D20" s="56" t="n">
        <f aca="false">(SUMPRODUCT(DCF!$C$26:$G$26,(1+DCF!$B$8)^(-DCF!$C$25:$G$25))+DCF!$G$15*(1+D$18)*(1-DCF!$B$11)*(1-D$18/$A20)/(DCF!$B$8-D$18)/(1+DCF!$B$8)^DCF!$G$25+DCF!$B$52)/DCF!$B$47</f>
        <v>327.635304363339</v>
      </c>
      <c r="E20" s="56" t="n">
        <f aca="false">(SUMPRODUCT(DCF!$C$26:$G$26,(1+DCF!$B$8)^(-DCF!$C$25:$G$25))+DCF!$G$15*(1+E$18)*(1-DCF!$B$11)*(1-E$18/$A20)/(DCF!$B$8-E$18)/(1+DCF!$B$8)^DCF!$G$25+DCF!$B$52)/DCF!$B$47</f>
        <v>346.908536455771</v>
      </c>
      <c r="F20" s="56" t="n">
        <f aca="false">(SUMPRODUCT(DCF!$C$26:$G$26,(1+DCF!$B$8)^(-DCF!$C$25:$G$25))+DCF!$G$15*(1+F$18)*(1-DCF!$B$11)*(1-F$18/$A20)/(DCF!$B$8-F$18)/(1+DCF!$B$8)^DCF!$G$25+DCF!$B$52)/DCF!$B$47</f>
        <v>370.489647936214</v>
      </c>
    </row>
    <row r="21" customFormat="false" ht="15" hidden="false" customHeight="false" outlineLevel="0" collapsed="false">
      <c r="A21" s="54" t="n">
        <v>0.25</v>
      </c>
      <c r="B21" s="56" t="n">
        <f aca="false">(SUMPRODUCT(DCF!$C$26:$G$26,(1+DCF!$B$8)^(-DCF!$C$25:$G$25))+DCF!$G$15*(1+B$18)*(1-DCF!$B$11)*(1-B$18/$A21)/(DCF!$B$8-B$18)/(1+DCF!$B$8)^DCF!$G$25+DCF!$B$52)/DCF!$B$47</f>
        <v>303.000483449761</v>
      </c>
      <c r="C21" s="56" t="n">
        <f aca="false">(SUMPRODUCT(DCF!$C$26:$G$26,(1+DCF!$B$8)^(-DCF!$C$25:$G$25))+DCF!$G$15*(1+C$18)*(1-DCF!$B$11)*(1-C$18/$A21)/(DCF!$B$8-C$18)/(1+DCF!$B$8)^DCF!$G$25+DCF!$B$52)/DCF!$B$47</f>
        <v>318.437365126815</v>
      </c>
      <c r="D21" s="57" t="n">
        <f aca="false">(SUMPRODUCT(DCF!$C$26:$G$26,(1+DCF!$B$8)^(-DCF!$C$25:$G$25))+DCF!$G$15*(1+D$18)*(1-DCF!$B$11)*(1-D$18/$A21)/(DCF!$B$8-D$18)/(1+DCF!$B$8)^DCF!$G$25+DCF!$B$52)/DCF!$B$47</f>
        <v>336.683667848478</v>
      </c>
      <c r="E21" s="56" t="n">
        <f aca="false">(SUMPRODUCT(DCF!$C$26:$G$26,(1+DCF!$B$8)^(-DCF!$C$25:$G$25))+DCF!$G$15*(1+E$18)*(1-DCF!$B$11)*(1-E$18/$A21)/(DCF!$B$8-E$18)/(1+DCF!$B$8)^DCF!$G$25+DCF!$B$52)/DCF!$B$47</f>
        <v>358.602504430718</v>
      </c>
      <c r="F21" s="56" t="n">
        <f aca="false">(SUMPRODUCT(DCF!$C$26:$G$26,(1+DCF!$B$8)^(-DCF!$C$25:$G$25))+DCF!$G$15*(1+F$18)*(1-DCF!$B$11)*(1-F$18/$A21)/(DCF!$B$8-F$18)/(1+DCF!$B$8)^DCF!$G$25+DCF!$B$52)/DCF!$B$47</f>
        <v>385.450880052138</v>
      </c>
    </row>
    <row r="22" customFormat="false" ht="15" hidden="false" customHeight="false" outlineLevel="0" collapsed="false">
      <c r="A22" s="54" t="n">
        <v>0.3</v>
      </c>
      <c r="B22" s="56" t="n">
        <f aca="false">(SUMPRODUCT(DCF!$C$26:$G$26,(1+DCF!$B$8)^(-DCF!$C$25:$G$25))+DCF!$G$15*(1+B$18)*(1-DCF!$B$11)*(1-B$18/$A22)/(DCF!$B$8-B$18)/(1+DCF!$B$8)^DCF!$G$25+DCF!$B$52)/DCF!$B$47</f>
        <v>306.358968635733</v>
      </c>
      <c r="C22" s="56" t="n">
        <f aca="false">(SUMPRODUCT(DCF!$C$26:$G$26,(1+DCF!$B$8)^(-DCF!$C$25:$G$25))+DCF!$G$15*(1+C$18)*(1-DCF!$B$11)*(1-C$18/$A22)/(DCF!$B$8-C$18)/(1+DCF!$B$8)^DCF!$G$25+DCF!$B$52)/DCF!$B$47</f>
        <v>323.01463104365</v>
      </c>
      <c r="D22" s="56" t="n">
        <f aca="false">(SUMPRODUCT(DCF!$C$26:$G$26,(1+DCF!$B$8)^(-DCF!$C$25:$G$25))+DCF!$G$15*(1+D$18)*(1-DCF!$B$11)*(1-D$18/$A22)/(DCF!$B$8-D$18)/(1+DCF!$B$8)^DCF!$G$25+DCF!$B$52)/DCF!$B$47</f>
        <v>342.715910171903</v>
      </c>
      <c r="E22" s="56" t="n">
        <f aca="false">(SUMPRODUCT(DCF!$C$26:$G$26,(1+DCF!$B$8)^(-DCF!$C$25:$G$25))+DCF!$G$15*(1+E$18)*(1-DCF!$B$11)*(1-E$18/$A22)/(DCF!$B$8-E$18)/(1+DCF!$B$8)^DCF!$G$25+DCF!$B$52)/DCF!$B$47</f>
        <v>366.398483080682</v>
      </c>
      <c r="F22" s="56" t="n">
        <f aca="false">(SUMPRODUCT(DCF!$C$26:$G$26,(1+DCF!$B$8)^(-DCF!$C$25:$G$25))+DCF!$G$15*(1+F$18)*(1-DCF!$B$11)*(1-F$18/$A22)/(DCF!$B$8-F$18)/(1+DCF!$B$8)^DCF!$G$25+DCF!$B$52)/DCF!$B$47</f>
        <v>395.425034796087</v>
      </c>
    </row>
    <row r="23" customFormat="false" ht="15" hidden="false" customHeight="false" outlineLevel="0" collapsed="false">
      <c r="A23" s="54" t="n">
        <v>0.35</v>
      </c>
      <c r="B23" s="56" t="n">
        <f aca="false">(SUMPRODUCT(DCF!$C$26:$G$26,(1+DCF!$B$8)^(-DCF!$C$25:$G$25))+DCF!$G$15*(1+B$18)*(1-DCF!$B$11)*(1-B$18/$A23)/(DCF!$B$8-B$18)/(1+DCF!$B$8)^DCF!$G$25+DCF!$B$52)/DCF!$B$47</f>
        <v>308.757886625712</v>
      </c>
      <c r="C23" s="56" t="n">
        <f aca="false">(SUMPRODUCT(DCF!$C$26:$G$26,(1+DCF!$B$8)^(-DCF!$C$25:$G$25))+DCF!$G$15*(1+C$18)*(1-DCF!$B$11)*(1-C$18/$A23)/(DCF!$B$8-C$18)/(1+DCF!$B$8)^DCF!$G$25+DCF!$B$52)/DCF!$B$47</f>
        <v>326.284106698532</v>
      </c>
      <c r="D23" s="56" t="n">
        <f aca="false">(SUMPRODUCT(DCF!$C$26:$G$26,(1+DCF!$B$8)^(-DCF!$C$25:$G$25))+DCF!$G$15*(1+D$18)*(1-DCF!$B$11)*(1-D$18/$A23)/(DCF!$B$8-D$18)/(1+DCF!$B$8)^DCF!$G$25+DCF!$B$52)/DCF!$B$47</f>
        <v>347.024654688636</v>
      </c>
      <c r="E23" s="56" t="n">
        <f aca="false">(SUMPRODUCT(DCF!$C$26:$G$26,(1+DCF!$B$8)^(-DCF!$C$25:$G$25))+DCF!$G$15*(1+E$18)*(1-DCF!$B$11)*(1-E$18/$A23)/(DCF!$B$8-E$18)/(1+DCF!$B$8)^DCF!$G$25+DCF!$B$52)/DCF!$B$47</f>
        <v>371.967039259229</v>
      </c>
      <c r="F23" s="56" t="n">
        <f aca="false">(SUMPRODUCT(DCF!$C$26:$G$26,(1+DCF!$B$8)^(-DCF!$C$25:$G$25))+DCF!$G$15*(1+F$18)*(1-DCF!$B$11)*(1-F$18/$A23)/(DCF!$B$8-F$18)/(1+DCF!$B$8)^DCF!$G$25+DCF!$B$52)/DCF!$B$47</f>
        <v>402.549431041765</v>
      </c>
    </row>
    <row r="25" customFormat="false" ht="15" hidden="false" customHeight="false" outlineLevel="0" collapsed="false">
      <c r="A25" s="40" t="s">
        <v>397</v>
      </c>
    </row>
    <row r="26" customFormat="false" ht="15" hidden="false" customHeight="false" outlineLevel="0" collapsed="false">
      <c r="A26" s="3" t="s">
        <v>398</v>
      </c>
    </row>
    <row r="27" customFormat="false" ht="15" hidden="false" customHeight="false" outlineLevel="0" collapsed="false">
      <c r="B27" s="5" t="s">
        <v>399</v>
      </c>
      <c r="C27" s="5" t="s">
        <v>400</v>
      </c>
      <c r="D27" s="5" t="s">
        <v>401</v>
      </c>
      <c r="E27" s="5" t="s">
        <v>402</v>
      </c>
      <c r="F27" s="5" t="s">
        <v>403</v>
      </c>
    </row>
    <row r="28" customFormat="false" ht="15" hidden="false" customHeight="false" outlineLevel="0" collapsed="false">
      <c r="A28" s="5" t="s">
        <v>404</v>
      </c>
      <c r="B28" s="58" t="n">
        <v>298.921</v>
      </c>
      <c r="C28" s="58" t="n">
        <v>311.207</v>
      </c>
      <c r="D28" s="58" t="n">
        <v>323.494</v>
      </c>
      <c r="E28" s="58" t="n">
        <v>335.78</v>
      </c>
      <c r="F28" s="58" t="n">
        <v>348.066</v>
      </c>
    </row>
    <row r="29" customFormat="false" ht="15" hidden="false" customHeight="false" outlineLevel="0" collapsed="false">
      <c r="A29" s="5" t="s">
        <v>405</v>
      </c>
      <c r="B29" s="58" t="n">
        <v>304.283</v>
      </c>
      <c r="C29" s="58" t="n">
        <v>317.123</v>
      </c>
      <c r="D29" s="58" t="n">
        <v>329.962</v>
      </c>
      <c r="E29" s="58" t="n">
        <v>342.802</v>
      </c>
      <c r="F29" s="58" t="n">
        <v>355.641</v>
      </c>
    </row>
    <row r="30" customFormat="false" ht="15" hidden="false" customHeight="false" outlineLevel="0" collapsed="false">
      <c r="A30" s="5" t="s">
        <v>406</v>
      </c>
      <c r="B30" s="58" t="n">
        <v>309.857</v>
      </c>
      <c r="C30" s="58" t="n">
        <v>323.27</v>
      </c>
      <c r="D30" s="59" t="n">
        <v>336.684</v>
      </c>
      <c r="E30" s="58" t="n">
        <v>350.097</v>
      </c>
      <c r="F30" s="58" t="n">
        <v>363.51</v>
      </c>
    </row>
    <row r="31" customFormat="false" ht="15" hidden="false" customHeight="false" outlineLevel="0" collapsed="false">
      <c r="A31" s="5" t="s">
        <v>407</v>
      </c>
      <c r="B31" s="58" t="n">
        <v>315.649</v>
      </c>
      <c r="C31" s="58" t="n">
        <v>329.657</v>
      </c>
      <c r="D31" s="58" t="n">
        <v>343.666</v>
      </c>
      <c r="E31" s="58" t="n">
        <v>357.674</v>
      </c>
      <c r="F31" s="58" t="n">
        <v>371.683</v>
      </c>
    </row>
    <row r="32" customFormat="false" ht="15" hidden="false" customHeight="false" outlineLevel="0" collapsed="false">
      <c r="A32" s="5" t="s">
        <v>408</v>
      </c>
      <c r="B32" s="58" t="n">
        <v>321.666</v>
      </c>
      <c r="C32" s="58" t="n">
        <v>336.291</v>
      </c>
      <c r="D32" s="58" t="n">
        <v>350.916</v>
      </c>
      <c r="E32" s="58" t="n">
        <v>365.542</v>
      </c>
      <c r="F32" s="58" t="n">
        <v>380.167</v>
      </c>
    </row>
    <row r="34" customFormat="false" ht="15" hidden="false" customHeight="false" outlineLevel="0" collapsed="false">
      <c r="A34" s="40" t="s">
        <v>409</v>
      </c>
    </row>
    <row r="35" customFormat="false" ht="15" hidden="false" customHeight="false" outlineLevel="0" collapsed="false">
      <c r="A35" s="16"/>
      <c r="B35" s="17" t="s">
        <v>410</v>
      </c>
      <c r="C35" s="17" t="s">
        <v>411</v>
      </c>
      <c r="D35" s="17" t="s">
        <v>412</v>
      </c>
    </row>
    <row r="36" customFormat="false" ht="15" hidden="false" customHeight="false" outlineLevel="0" collapsed="false">
      <c r="A36" s="6" t="s">
        <v>413</v>
      </c>
      <c r="B36" s="27" t="n">
        <v>0.0486635</v>
      </c>
      <c r="C36" s="27" t="n">
        <v>0.0655534</v>
      </c>
      <c r="D36" s="27" t="n">
        <v>0.07626</v>
      </c>
    </row>
    <row r="37" customFormat="false" ht="15" hidden="false" customHeight="false" outlineLevel="0" collapsed="false">
      <c r="A37" s="6" t="s">
        <v>414</v>
      </c>
      <c r="B37" s="29" t="n">
        <v>0.0356714</v>
      </c>
      <c r="C37" s="29" t="n">
        <v>0.0376656</v>
      </c>
      <c r="D37" s="29" t="n">
        <v>0.038625</v>
      </c>
    </row>
    <row r="38" customFormat="false" ht="15" hidden="false" customHeight="false" outlineLevel="0" collapsed="false">
      <c r="A38" s="6" t="s">
        <v>6</v>
      </c>
      <c r="B38" s="27" t="n">
        <v>0.025</v>
      </c>
      <c r="C38" s="27" t="n">
        <v>0.03</v>
      </c>
      <c r="D38" s="27" t="n">
        <v>0.035</v>
      </c>
    </row>
    <row r="39" customFormat="false" ht="15" hidden="false" customHeight="false" outlineLevel="0" collapsed="false">
      <c r="A39" s="6" t="s">
        <v>348</v>
      </c>
      <c r="B39" s="27" t="n">
        <v>0.15</v>
      </c>
      <c r="C39" s="27" t="n">
        <v>0.25</v>
      </c>
      <c r="D39" s="27" t="n">
        <v>0.35</v>
      </c>
    </row>
    <row r="40" customFormat="false" ht="15" hidden="false" customHeight="false" outlineLevel="0" collapsed="false">
      <c r="A40" s="6" t="s">
        <v>382</v>
      </c>
      <c r="B40" s="58" t="n">
        <v>263.396</v>
      </c>
      <c r="C40" s="58" t="n">
        <v>336.684</v>
      </c>
      <c r="D40" s="58" t="n">
        <v>400.229</v>
      </c>
    </row>
    <row r="41" customFormat="false" ht="15" hidden="false" customHeight="false" outlineLevel="0" collapsed="false">
      <c r="A41" s="6" t="s">
        <v>415</v>
      </c>
      <c r="B41" s="27" t="n">
        <v>0.25</v>
      </c>
      <c r="C41" s="27" t="n">
        <v>0.5</v>
      </c>
      <c r="D41" s="27" t="n">
        <v>0.25</v>
      </c>
    </row>
    <row r="42" customFormat="false" ht="15" hidden="false" customHeight="false" outlineLevel="0" collapsed="false">
      <c r="A42" s="12" t="s">
        <v>416</v>
      </c>
      <c r="B42" s="60" t="n">
        <f aca="false">SUMPRODUCT(B40:D40,B41:D41)</f>
        <v>334.24825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9" min="3" style="0" width="13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417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418</v>
      </c>
    </row>
    <row r="5" customFormat="false" ht="15" hidden="false" customHeight="false" outlineLevel="0" collapsed="false">
      <c r="A5" s="16"/>
      <c r="B5" s="17" t="s">
        <v>135</v>
      </c>
      <c r="C5" s="17" t="s">
        <v>419</v>
      </c>
      <c r="D5" s="17" t="s">
        <v>420</v>
      </c>
      <c r="E5" s="17" t="s">
        <v>421</v>
      </c>
      <c r="F5" s="17" t="s">
        <v>422</v>
      </c>
      <c r="G5" s="17" t="s">
        <v>423</v>
      </c>
      <c r="H5" s="17" t="s">
        <v>424</v>
      </c>
      <c r="I5" s="17" t="s">
        <v>425</v>
      </c>
    </row>
    <row r="6" customFormat="false" ht="15" hidden="false" customHeight="false" outlineLevel="0" collapsed="false">
      <c r="A6" s="6" t="s">
        <v>426</v>
      </c>
      <c r="B6" s="6" t="s">
        <v>427</v>
      </c>
      <c r="C6" s="19" t="n">
        <v>979.88</v>
      </c>
      <c r="D6" s="19" t="n">
        <v>98.16</v>
      </c>
      <c r="E6" s="19" t="n">
        <v>99.05</v>
      </c>
      <c r="F6" s="19" t="n">
        <v>137.91</v>
      </c>
      <c r="G6" s="19" t="n">
        <v>71.06</v>
      </c>
      <c r="H6" s="19" t="n">
        <v>73.35</v>
      </c>
      <c r="I6" s="19" t="n">
        <v>61.64</v>
      </c>
    </row>
    <row r="7" customFormat="false" ht="15" hidden="false" customHeight="false" outlineLevel="0" collapsed="false">
      <c r="A7" s="6" t="s">
        <v>428</v>
      </c>
      <c r="B7" s="6" t="s">
        <v>193</v>
      </c>
      <c r="C7" s="20" t="n">
        <v>443.899</v>
      </c>
      <c r="D7" s="20" t="n">
        <v>8033.39</v>
      </c>
      <c r="E7" s="20" t="n">
        <v>132.094</v>
      </c>
      <c r="F7" s="20" t="n">
        <v>458.212</v>
      </c>
      <c r="G7" s="20" t="n">
        <v>219.926</v>
      </c>
      <c r="H7" s="20" t="n">
        <v>215.039</v>
      </c>
      <c r="I7" s="20" t="n">
        <v>723.606</v>
      </c>
    </row>
    <row r="8" customFormat="false" ht="15" hidden="false" customHeight="false" outlineLevel="0" collapsed="false">
      <c r="A8" s="6" t="s">
        <v>429</v>
      </c>
      <c r="B8" s="6" t="s">
        <v>175</v>
      </c>
      <c r="C8" s="18" t="n">
        <v>7340</v>
      </c>
      <c r="D8" s="18" t="n">
        <v>47315</v>
      </c>
      <c r="E8" s="18" t="n">
        <v>678.351</v>
      </c>
      <c r="F8" s="18" t="n">
        <v>15981</v>
      </c>
      <c r="G8" s="18" t="n">
        <v>6242.4</v>
      </c>
      <c r="H8" s="18" t="n">
        <v>3430</v>
      </c>
      <c r="I8" s="18" t="n">
        <v>22617</v>
      </c>
    </row>
    <row r="9" customFormat="false" ht="15" hidden="false" customHeight="false" outlineLevel="0" collapsed="false">
      <c r="A9" s="6" t="s">
        <v>430</v>
      </c>
      <c r="B9" s="6" t="s">
        <v>175</v>
      </c>
      <c r="C9" s="18" t="n">
        <v>0</v>
      </c>
      <c r="D9" s="18" t="n">
        <v>6168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-6</v>
      </c>
    </row>
    <row r="10" customFormat="false" ht="15" hidden="false" customHeight="false" outlineLevel="0" collapsed="false">
      <c r="A10" s="6" t="s">
        <v>431</v>
      </c>
      <c r="B10" s="6" t="s">
        <v>175</v>
      </c>
      <c r="C10" s="18" t="n">
        <v>11827</v>
      </c>
      <c r="D10" s="18" t="n">
        <v>10049</v>
      </c>
      <c r="E10" s="18" t="n">
        <v>33.873</v>
      </c>
      <c r="F10" s="18" t="n">
        <v>3433</v>
      </c>
      <c r="G10" s="18" t="n">
        <v>537.257</v>
      </c>
      <c r="H10" s="18" t="n">
        <v>697.6</v>
      </c>
      <c r="I10" s="18" t="n">
        <v>13358</v>
      </c>
    </row>
    <row r="11" customFormat="false" ht="15" hidden="false" customHeight="false" outlineLevel="0" collapsed="false">
      <c r="A11" s="6" t="s">
        <v>432</v>
      </c>
      <c r="B11" s="6" t="s">
        <v>175</v>
      </c>
      <c r="C11" s="18" t="n">
        <v>258805</v>
      </c>
      <c r="D11" s="18" t="n">
        <v>670137</v>
      </c>
      <c r="E11" s="18" t="n">
        <v>20192.2</v>
      </c>
      <c r="F11" s="18" t="n">
        <v>105540</v>
      </c>
      <c r="G11" s="18" t="n">
        <v>40166.3</v>
      </c>
      <c r="H11" s="18" t="n">
        <v>30630.6</v>
      </c>
      <c r="I11" s="18" t="n">
        <v>147051</v>
      </c>
    </row>
    <row r="12" customFormat="false" ht="15" hidden="false" customHeight="false" outlineLevel="0" collapsed="false">
      <c r="A12" s="6" t="s">
        <v>433</v>
      </c>
      <c r="B12" s="6" t="s">
        <v>175</v>
      </c>
      <c r="C12" s="18" t="n">
        <v>9497</v>
      </c>
      <c r="D12" s="18" t="n">
        <v>28585.9</v>
      </c>
      <c r="E12" s="18" t="n">
        <v>792.576</v>
      </c>
      <c r="F12" s="18" t="n">
        <v>5851.47</v>
      </c>
      <c r="G12" s="18" t="n">
        <v>1999.52</v>
      </c>
      <c r="H12" s="18" t="n">
        <v>-916.279</v>
      </c>
      <c r="I12" s="18" t="n">
        <v>4053.06</v>
      </c>
    </row>
    <row r="13" customFormat="false" ht="15" hidden="false" customHeight="false" outlineLevel="0" collapsed="false">
      <c r="A13" s="6" t="s">
        <v>434</v>
      </c>
      <c r="B13" s="6" t="s">
        <v>175</v>
      </c>
      <c r="C13" s="18" t="n">
        <v>2284</v>
      </c>
      <c r="D13" s="18" t="n">
        <v>12646.5</v>
      </c>
      <c r="E13" s="18" t="n">
        <v>250.692</v>
      </c>
      <c r="F13" s="18" t="n">
        <v>2888.45</v>
      </c>
      <c r="G13" s="18" t="n">
        <v>941.069</v>
      </c>
      <c r="H13" s="18" t="n">
        <v>825.132</v>
      </c>
      <c r="I13" s="18" t="n">
        <v>3154.34</v>
      </c>
    </row>
    <row r="14" customFormat="false" ht="15" hidden="false" customHeight="false" outlineLevel="0" collapsed="false">
      <c r="A14" s="6" t="s">
        <v>435</v>
      </c>
      <c r="B14" s="6" t="s">
        <v>175</v>
      </c>
      <c r="C14" s="18" t="n">
        <v>7576</v>
      </c>
      <c r="D14" s="18" t="n">
        <v>19568.5</v>
      </c>
      <c r="E14" s="18" t="n">
        <v>547.106</v>
      </c>
      <c r="F14" s="18" t="n">
        <v>4287.55</v>
      </c>
      <c r="G14" s="18" t="n">
        <v>1335.85</v>
      </c>
      <c r="H14" s="18" t="n">
        <v>-1024.3</v>
      </c>
      <c r="I14" s="18" t="n">
        <v>2714.79</v>
      </c>
    </row>
    <row r="15" customFormat="false" ht="15" hidden="false" customHeight="false" outlineLevel="0" collapsed="false">
      <c r="A15" s="6" t="s">
        <v>436</v>
      </c>
      <c r="B15" s="6" t="s">
        <v>149</v>
      </c>
      <c r="C15" s="27" t="n">
        <v>0.0752954</v>
      </c>
      <c r="D15" s="27" t="n">
        <v>0.0541226</v>
      </c>
      <c r="E15" s="27" t="n">
        <v>0.0418764</v>
      </c>
      <c r="F15" s="27" t="n">
        <v>0.00209291</v>
      </c>
      <c r="G15" s="27" t="n">
        <v>0.0511466</v>
      </c>
      <c r="H15" s="27" t="n">
        <v>0.0280415</v>
      </c>
      <c r="I15" s="27" t="n">
        <v>-0.00141624</v>
      </c>
    </row>
    <row r="16" customFormat="false" ht="15" hidden="false" customHeight="false" outlineLevel="0" collapsed="false">
      <c r="A16" s="6" t="s">
        <v>437</v>
      </c>
      <c r="B16" s="6" t="s">
        <v>149</v>
      </c>
      <c r="C16" s="27" t="n">
        <v>0.091029</v>
      </c>
      <c r="D16" s="27" t="n">
        <v>0.0514113</v>
      </c>
      <c r="E16" s="27" t="n">
        <v>0.0828548</v>
      </c>
      <c r="F16" s="27" t="n">
        <v>0.0404674</v>
      </c>
      <c r="G16" s="27" t="n">
        <v>0.0466333</v>
      </c>
      <c r="H16" s="27" t="n">
        <v>0.0558481</v>
      </c>
      <c r="I16" s="27" t="n">
        <v>0.0357162</v>
      </c>
    </row>
    <row r="18" customFormat="false" ht="15" hidden="false" customHeight="false" outlineLevel="0" collapsed="false">
      <c r="A18" s="6" t="s">
        <v>438</v>
      </c>
      <c r="C18" s="61" t="n">
        <f aca="false">C6*C7</f>
        <v>434967.75212</v>
      </c>
      <c r="D18" s="61" t="n">
        <f aca="false">D6*D7</f>
        <v>788557.5624</v>
      </c>
      <c r="E18" s="61" t="n">
        <f aca="false">E6*E7</f>
        <v>13083.9107</v>
      </c>
      <c r="F18" s="61" t="n">
        <f aca="false">F6*F7</f>
        <v>63192.01692</v>
      </c>
      <c r="G18" s="61" t="n">
        <f aca="false">G6*G7</f>
        <v>15627.94156</v>
      </c>
      <c r="H18" s="61" t="n">
        <f aca="false">H6*H7</f>
        <v>15773.11065</v>
      </c>
      <c r="I18" s="61" t="n">
        <f aca="false">I6*I7</f>
        <v>44603.07384</v>
      </c>
    </row>
    <row r="19" customFormat="false" ht="15" hidden="false" customHeight="false" outlineLevel="0" collapsed="false">
      <c r="A19" s="6" t="s">
        <v>373</v>
      </c>
      <c r="C19" s="61" t="n">
        <f aca="false">C18+C8+C9-C10</f>
        <v>430480.75212</v>
      </c>
      <c r="D19" s="61" t="n">
        <f aca="false">D18+D8+D9-D10</f>
        <v>831991.5624</v>
      </c>
      <c r="E19" s="61" t="n">
        <f aca="false">E18+E8+E9-E10</f>
        <v>13728.3887</v>
      </c>
      <c r="F19" s="61" t="n">
        <f aca="false">F18+F8+F9-F10</f>
        <v>75740.01692</v>
      </c>
      <c r="G19" s="61" t="n">
        <f aca="false">G18+G8+G9-G10</f>
        <v>21333.08456</v>
      </c>
      <c r="H19" s="61" t="n">
        <f aca="false">H18+H8+H9-H10</f>
        <v>18505.51065</v>
      </c>
      <c r="I19" s="61" t="n">
        <f aca="false">I18+I8+I9-I10</f>
        <v>53856.07384</v>
      </c>
    </row>
    <row r="20" customFormat="false" ht="15" hidden="false" customHeight="false" outlineLevel="0" collapsed="false">
      <c r="A20" s="6" t="s">
        <v>439</v>
      </c>
      <c r="C20" s="61" t="n">
        <f aca="false">C12+C13</f>
        <v>11781</v>
      </c>
      <c r="D20" s="61" t="n">
        <f aca="false">D12+D13</f>
        <v>41232.4</v>
      </c>
      <c r="E20" s="61" t="n">
        <f aca="false">E12+E13</f>
        <v>1043.268</v>
      </c>
      <c r="F20" s="61" t="n">
        <f aca="false">F12+F13</f>
        <v>8739.92</v>
      </c>
      <c r="G20" s="61" t="n">
        <f aca="false">G12+G13</f>
        <v>2940.589</v>
      </c>
      <c r="H20" s="61" t="n">
        <f aca="false">H12+H13</f>
        <v>-91.1470000000001</v>
      </c>
      <c r="I20" s="61" t="n">
        <f aca="false">I12+I13</f>
        <v>7207.4</v>
      </c>
    </row>
    <row r="21" customFormat="false" ht="15" hidden="false" customHeight="false" outlineLevel="0" collapsed="false">
      <c r="A21" s="6" t="s">
        <v>440</v>
      </c>
      <c r="C21" s="62" t="n">
        <f aca="false">C20/C11</f>
        <v>0.0455207588725102</v>
      </c>
      <c r="D21" s="62" t="n">
        <f aca="false">D20/D11</f>
        <v>0.0615283143596011</v>
      </c>
      <c r="E21" s="62" t="n">
        <f aca="false">E20/E11</f>
        <v>0.0516668812709858</v>
      </c>
      <c r="F21" s="62" t="n">
        <f aca="false">F20/F11</f>
        <v>0.0828114458972901</v>
      </c>
      <c r="G21" s="62" t="n">
        <f aca="false">G20/G11</f>
        <v>0.0732103529575789</v>
      </c>
      <c r="H21" s="62" t="n">
        <f aca="false">H20/H11</f>
        <v>-0.00297568444627268</v>
      </c>
      <c r="I21" s="62" t="n">
        <f aca="false">I20/I11</f>
        <v>0.0490129274877423</v>
      </c>
    </row>
    <row r="22" customFormat="false" ht="15" hidden="false" customHeight="false" outlineLevel="0" collapsed="false">
      <c r="A22" s="6" t="s">
        <v>441</v>
      </c>
      <c r="C22" s="63" t="n">
        <f aca="false">C19/C11</f>
        <v>1.6633401677711</v>
      </c>
      <c r="D22" s="63" t="n">
        <f aca="false">D19/D11</f>
        <v>1.2415245873605</v>
      </c>
      <c r="E22" s="63" t="n">
        <f aca="false">E19/E11</f>
        <v>0.679885733104862</v>
      </c>
      <c r="F22" s="63" t="n">
        <f aca="false">F19/F11</f>
        <v>0.717642760280462</v>
      </c>
      <c r="G22" s="63" t="n">
        <f aca="false">G19/G11</f>
        <v>0.531118986812328</v>
      </c>
      <c r="H22" s="63" t="n">
        <f aca="false">H19/H11</f>
        <v>0.604151098901099</v>
      </c>
      <c r="I22" s="63" t="n">
        <f aca="false">I19/I11</f>
        <v>0.366240786121822</v>
      </c>
    </row>
    <row r="23" customFormat="false" ht="15" hidden="false" customHeight="false" outlineLevel="0" collapsed="false">
      <c r="A23" s="12" t="s">
        <v>442</v>
      </c>
      <c r="C23" s="64" t="n">
        <f aca="false">IF(C20&gt;0,C19/C20,"NM")</f>
        <v>36.5402556760886</v>
      </c>
      <c r="D23" s="64" t="n">
        <f aca="false">IF(D20&gt;0,D19/D20,"NM")</f>
        <v>20.1781017452295</v>
      </c>
      <c r="E23" s="64" t="n">
        <f aca="false">IF(E20&gt;0,E19/E20,"NM")</f>
        <v>13.1590240475122</v>
      </c>
      <c r="F23" s="64" t="n">
        <f aca="false">IF(F20&gt;0,F19/F20,"NM")</f>
        <v>8.66598514860548</v>
      </c>
      <c r="G23" s="64" t="n">
        <f aca="false">IF(G20&gt;0,G19/G20,"NM")</f>
        <v>7.25469780373932</v>
      </c>
      <c r="H23" s="64" t="str">
        <f aca="false">IF(H20&gt;0,H19/H20,"NM")</f>
        <v>NM</v>
      </c>
      <c r="I23" s="64" t="n">
        <f aca="false">IF(I20&gt;0,I19/I20,"NM")</f>
        <v>7.47233036046286</v>
      </c>
    </row>
    <row r="24" customFormat="false" ht="15" hidden="false" customHeight="false" outlineLevel="0" collapsed="false">
      <c r="A24" s="12" t="s">
        <v>443</v>
      </c>
      <c r="C24" s="64" t="n">
        <f aca="false">IF(C14&gt;0,C18/C14,"NM")</f>
        <v>57.4139060348469</v>
      </c>
      <c r="D24" s="64" t="n">
        <f aca="false">IF(D14&gt;0,D18/D14,"NM")</f>
        <v>40.2972921991977</v>
      </c>
      <c r="E24" s="64" t="n">
        <f aca="false">IF(E14&gt;0,E18/E14,"NM")</f>
        <v>23.91476368382</v>
      </c>
      <c r="F24" s="64" t="n">
        <f aca="false">IF(F14&gt;0,F18/F14,"NM")</f>
        <v>14.7384909610384</v>
      </c>
      <c r="G24" s="64" t="n">
        <f aca="false">IF(G14&gt;0,G18/G14,"NM")</f>
        <v>11.6988745442976</v>
      </c>
      <c r="H24" s="64" t="str">
        <f aca="false">IF(H14&gt;0,H18/H14,"NM")</f>
        <v>NM</v>
      </c>
      <c r="I24" s="64" t="n">
        <f aca="false">IF(I14&gt;0,I18/I14,"NM")</f>
        <v>16.4296589570464</v>
      </c>
    </row>
    <row r="25" customFormat="false" ht="15" hidden="false" customHeight="false" outlineLevel="0" collapsed="false">
      <c r="A25" s="6" t="s">
        <v>444</v>
      </c>
      <c r="C25" s="63" t="n">
        <f aca="false">C18/C11</f>
        <v>1.68067754533336</v>
      </c>
      <c r="D25" s="63" t="n">
        <f aca="false">D18/D11</f>
        <v>1.17671097462161</v>
      </c>
      <c r="E25" s="63" t="n">
        <f aca="false">E18/E11</f>
        <v>0.647968557165638</v>
      </c>
      <c r="F25" s="63" t="n">
        <f aca="false">F18/F11</f>
        <v>0.598749449687322</v>
      </c>
      <c r="G25" s="63" t="n">
        <f aca="false">G18/G11</f>
        <v>0.389080935012685</v>
      </c>
      <c r="H25" s="63" t="n">
        <f aca="false">H18/H11</f>
        <v>0.514946186166774</v>
      </c>
      <c r="I25" s="63" t="n">
        <f aca="false">I18/I11</f>
        <v>0.303317038578452</v>
      </c>
    </row>
    <row r="26" customFormat="false" ht="15" hidden="false" customHeight="false" outlineLevel="0" collapsed="false">
      <c r="A26" s="6" t="s">
        <v>445</v>
      </c>
      <c r="C26" s="65" t="n">
        <f aca="false">IF(ISNUMBER(C23),C23/(C16*100),"NM")</f>
        <v>4.01413348230659</v>
      </c>
      <c r="D26" s="65" t="n">
        <f aca="false">IF(ISNUMBER(D23),D23/(D16*100),"NM")</f>
        <v>3.92483787518104</v>
      </c>
      <c r="E26" s="65" t="n">
        <f aca="false">IF(ISNUMBER(E23),E23/(E16*100),"NM")</f>
        <v>1.58820298250822</v>
      </c>
      <c r="F26" s="65" t="n">
        <f aca="false">IF(ISNUMBER(F23),F23/(F16*100),"NM")</f>
        <v>2.14147317312342</v>
      </c>
      <c r="G26" s="65" t="n">
        <f aca="false">IF(ISNUMBER(G23),G23/(G16*100),"NM")</f>
        <v>1.55569041945119</v>
      </c>
      <c r="H26" s="65" t="str">
        <f aca="false">IF(ISNUMBER(H23),H23/(H16*100),"NM")</f>
        <v>NM</v>
      </c>
      <c r="I26" s="65" t="n">
        <f aca="false">IF(ISNUMBER(I23),I23/(I16*100),"NM")</f>
        <v>2.09214036220619</v>
      </c>
    </row>
    <row r="27" customFormat="false" ht="15" hidden="false" customHeight="false" outlineLevel="0" collapsed="false">
      <c r="A27" s="3" t="s">
        <v>446</v>
      </c>
      <c r="C27" s="66" t="s">
        <v>447</v>
      </c>
      <c r="D27" s="66" t="s">
        <v>448</v>
      </c>
      <c r="E27" s="66" t="s">
        <v>448</v>
      </c>
      <c r="F27" s="66" t="s">
        <v>449</v>
      </c>
      <c r="G27" s="66" t="s">
        <v>450</v>
      </c>
      <c r="H27" s="66" t="s">
        <v>450</v>
      </c>
      <c r="I27" s="66" t="s">
        <v>449</v>
      </c>
    </row>
    <row r="29" customFormat="false" ht="15" hidden="false" customHeight="false" outlineLevel="0" collapsed="false">
      <c r="A29" s="16" t="s">
        <v>451</v>
      </c>
      <c r="B29" s="17"/>
      <c r="C29" s="17" t="s">
        <v>452</v>
      </c>
      <c r="D29" s="17" t="s">
        <v>453</v>
      </c>
      <c r="E29" s="17" t="s">
        <v>454</v>
      </c>
      <c r="F29" s="17" t="s">
        <v>455</v>
      </c>
      <c r="G29" s="17" t="s">
        <v>456</v>
      </c>
      <c r="H29" s="17" t="s">
        <v>457</v>
      </c>
    </row>
    <row r="30" customFormat="false" ht="15" hidden="false" customHeight="false" outlineLevel="0" collapsed="false">
      <c r="A30" s="6" t="s">
        <v>441</v>
      </c>
      <c r="C30" s="53" t="n">
        <f aca="false">QUARTILE(D22:I22,1)</f>
        <v>0.549377014834521</v>
      </c>
      <c r="D30" s="67" t="n">
        <f aca="false">MEDIAN(D22:I22)</f>
        <v>0.642018416002981</v>
      </c>
      <c r="E30" s="53" t="n">
        <f aca="false">QUARTILE(D22:I22,3)</f>
        <v>0.708203503486562</v>
      </c>
      <c r="F30" s="53" t="n">
        <f aca="false">MEDIAN(D22,E22)</f>
        <v>0.960705160232679</v>
      </c>
      <c r="G30" s="53" t="n">
        <f aca="false">C22</f>
        <v>1.6633401677711</v>
      </c>
      <c r="H30" s="21" t="n">
        <f aca="false">G30/D30-1</f>
        <v>1.59079821748194</v>
      </c>
    </row>
    <row r="31" customFormat="false" ht="15" hidden="false" customHeight="false" outlineLevel="0" collapsed="false">
      <c r="A31" s="6" t="s">
        <v>442</v>
      </c>
      <c r="C31" s="53" t="n">
        <f aca="false">QUARTILE(D23:I23,1)</f>
        <v>7.47233036046286</v>
      </c>
      <c r="D31" s="67" t="n">
        <f aca="false">MEDIAN(D23:I23)</f>
        <v>8.66598514860548</v>
      </c>
      <c r="E31" s="53" t="n">
        <f aca="false">QUARTILE(D23:I23,3)</f>
        <v>13.1590240475122</v>
      </c>
      <c r="F31" s="53" t="n">
        <f aca="false">MEDIAN(D23,E23)</f>
        <v>16.6685628963709</v>
      </c>
      <c r="G31" s="53" t="n">
        <f aca="false">C23</f>
        <v>36.5402556760886</v>
      </c>
      <c r="H31" s="21" t="n">
        <f aca="false">G31/D31-1</f>
        <v>3.21651492005714</v>
      </c>
    </row>
    <row r="32" customFormat="false" ht="15" hidden="false" customHeight="false" outlineLevel="0" collapsed="false">
      <c r="A32" s="6" t="s">
        <v>443</v>
      </c>
      <c r="C32" s="53" t="n">
        <f aca="false">QUARTILE(D24:I24,1)</f>
        <v>14.7384909610384</v>
      </c>
      <c r="D32" s="67" t="n">
        <f aca="false">MEDIAN(D24:I24)</f>
        <v>16.4296589570464</v>
      </c>
      <c r="E32" s="53" t="n">
        <f aca="false">QUARTILE(D24:I24,3)</f>
        <v>23.91476368382</v>
      </c>
      <c r="F32" s="53" t="n">
        <f aca="false">MEDIAN(D24,E24)</f>
        <v>32.1060279415088</v>
      </c>
      <c r="G32" s="53" t="n">
        <f aca="false">C24</f>
        <v>57.4139060348469</v>
      </c>
      <c r="H32" s="21" t="n">
        <f aca="false">G32/D32-1</f>
        <v>2.49452816914517</v>
      </c>
    </row>
    <row r="33" customFormat="false" ht="15" hidden="false" customHeight="false" outlineLevel="0" collapsed="false">
      <c r="A33" s="6" t="s">
        <v>444</v>
      </c>
      <c r="C33" s="53" t="n">
        <f aca="false">QUARTILE(D25:I25,1)</f>
        <v>0.420547247801207</v>
      </c>
      <c r="D33" s="67" t="n">
        <f aca="false">MEDIAN(D25:I25)</f>
        <v>0.556847817927048</v>
      </c>
      <c r="E33" s="53" t="n">
        <f aca="false">QUARTILE(D25:I25,3)</f>
        <v>0.635663780296059</v>
      </c>
      <c r="F33" s="53" t="n">
        <f aca="false">MEDIAN(D25,E25)</f>
        <v>0.912339765893623</v>
      </c>
      <c r="G33" s="53" t="n">
        <f aca="false">C25</f>
        <v>1.68067754533336</v>
      </c>
      <c r="H33" s="21" t="n">
        <f aca="false">G33/D33-1</f>
        <v>2.0181990325291</v>
      </c>
    </row>
    <row r="34" customFormat="false" ht="15" hidden="false" customHeight="false" outlineLevel="0" collapsed="false">
      <c r="A34" s="6" t="s">
        <v>445</v>
      </c>
      <c r="C34" s="53" t="n">
        <f aca="false">QUARTILE(D26:I26,1)</f>
        <v>1.58820298250822</v>
      </c>
      <c r="D34" s="67" t="n">
        <f aca="false">MEDIAN(D26:I26)</f>
        <v>2.09214036220619</v>
      </c>
      <c r="E34" s="53" t="n">
        <f aca="false">QUARTILE(D26:I26,3)</f>
        <v>2.14147317312342</v>
      </c>
      <c r="F34" s="53" t="n">
        <f aca="false">MEDIAN(D26,E26)</f>
        <v>2.75652042884463</v>
      </c>
      <c r="G34" s="53" t="n">
        <f aca="false">C26</f>
        <v>4.01413348230659</v>
      </c>
      <c r="H34" s="21" t="n">
        <f aca="false">G34/D34-1</f>
        <v>0.918673122903492</v>
      </c>
    </row>
    <row r="36" customFormat="false" ht="15" hidden="false" customHeight="false" outlineLevel="0" collapsed="false">
      <c r="A36" s="16" t="s">
        <v>458</v>
      </c>
      <c r="B36" s="17" t="s">
        <v>459</v>
      </c>
      <c r="C36" s="17" t="s">
        <v>452</v>
      </c>
      <c r="D36" s="17" t="s">
        <v>453</v>
      </c>
      <c r="E36" s="17" t="s">
        <v>454</v>
      </c>
      <c r="F36" s="17" t="s">
        <v>455</v>
      </c>
    </row>
    <row r="37" customFormat="false" ht="15" hidden="false" customHeight="false" outlineLevel="0" collapsed="false">
      <c r="A37" s="6" t="s">
        <v>442</v>
      </c>
      <c r="B37" s="23" t="n">
        <f aca="false">C20</f>
        <v>11781</v>
      </c>
      <c r="C37" s="56" t="n">
        <f aca="false">(C31*$B37+(C10-C8-C9))/C7</f>
        <v>208.422465418063</v>
      </c>
      <c r="D37" s="60" t="n">
        <f aca="false">(D31*$B37+(C10-C8-C9))/C7</f>
        <v>240.101849825571</v>
      </c>
      <c r="E37" s="56" t="n">
        <f aca="false">(E31*$B37+(C10-C8-C9))/C7</f>
        <v>359.34629792755</v>
      </c>
      <c r="F37" s="56" t="n">
        <f aca="false">(F31*$B37+(C10-C8-C9))/C7</f>
        <v>452.488830752367</v>
      </c>
    </row>
    <row r="38" customFormat="false" ht="15" hidden="false" customHeight="false" outlineLevel="0" collapsed="false">
      <c r="A38" s="6" t="s">
        <v>441</v>
      </c>
      <c r="B38" s="23" t="n">
        <f aca="false">C11</f>
        <v>258805</v>
      </c>
      <c r="C38" s="56" t="n">
        <f aca="false">(C30*$B38+(C10-C8-C9))/C7</f>
        <v>330.409661486618</v>
      </c>
      <c r="D38" s="60" t="n">
        <f aca="false">(D30*$B38+(C10-C8-C9))/C7</f>
        <v>384.42207834136</v>
      </c>
      <c r="E38" s="56" t="n">
        <f aca="false">(E30*$B38+(C10-C8-C9))/C7</f>
        <v>423.009756092804</v>
      </c>
      <c r="F38" s="56" t="n">
        <f aca="false">(F30*$B38+(C10-C8-C9))/C7</f>
        <v>570.224981344897</v>
      </c>
    </row>
    <row r="39" customFormat="false" ht="15" hidden="false" customHeight="false" outlineLevel="0" collapsed="false">
      <c r="A39" s="6" t="s">
        <v>443</v>
      </c>
      <c r="B39" s="23" t="n">
        <f aca="false">C14</f>
        <v>7576</v>
      </c>
      <c r="C39" s="56" t="n">
        <f aca="false">(C32*$B39)/C7</f>
        <v>251.54102063944</v>
      </c>
      <c r="D39" s="60" t="n">
        <f aca="false">(D32*$B39)/C7</f>
        <v>280.404092504339</v>
      </c>
      <c r="E39" s="56" t="n">
        <f aca="false">(E32*$B39)/C7</f>
        <v>408.151966254981</v>
      </c>
      <c r="F39" s="56" t="n">
        <f aca="false">(F32*$B39)/C7</f>
        <v>547.951826169626</v>
      </c>
    </row>
    <row r="40" customFormat="false" ht="15" hidden="false" customHeight="false" outlineLevel="0" collapsed="false">
      <c r="A40" s="6" t="s">
        <v>444</v>
      </c>
      <c r="B40" s="23" t="n">
        <f aca="false">C11</f>
        <v>258805</v>
      </c>
      <c r="C40" s="56" t="n">
        <f aca="false">(C33*$B40)/C7</f>
        <v>245.190303350968</v>
      </c>
      <c r="D40" s="60" t="n">
        <f aca="false">(D33*$B40)/C7</f>
        <v>324.657184446484</v>
      </c>
      <c r="E40" s="56" t="n">
        <f aca="false">(E33*$B40)/C7</f>
        <v>370.60900037964</v>
      </c>
      <c r="F40" s="56" t="n">
        <f aca="false">(F33*$B40)/C7</f>
        <v>531.918506489312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460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461</v>
      </c>
    </row>
    <row r="5" customFormat="false" ht="15" hidden="false" customHeight="false" outlineLevel="0" collapsed="false">
      <c r="A5" s="16" t="s">
        <v>462</v>
      </c>
      <c r="B5" s="17" t="s">
        <v>463</v>
      </c>
      <c r="C5" s="17" t="s">
        <v>464</v>
      </c>
      <c r="D5" s="17" t="s">
        <v>465</v>
      </c>
    </row>
    <row r="6" customFormat="false" ht="15" hidden="false" customHeight="false" outlineLevel="0" collapsed="false">
      <c r="A6" s="6" t="s">
        <v>466</v>
      </c>
      <c r="B6" s="68" t="n">
        <f aca="false">Sensitivity!B40</f>
        <v>263.396</v>
      </c>
      <c r="C6" s="68" t="n">
        <f aca="false">DCF!B48</f>
        <v>336.683667848478</v>
      </c>
      <c r="D6" s="68" t="n">
        <f aca="false">Sensitivity!D40</f>
        <v>400.229</v>
      </c>
    </row>
    <row r="7" customFormat="false" ht="15" hidden="false" customHeight="false" outlineLevel="0" collapsed="false">
      <c r="A7" s="6" t="s">
        <v>467</v>
      </c>
      <c r="B7" s="56" t="n">
        <f aca="false">MIN(Sensitivity!C11:E13)</f>
        <v>294.22584153849</v>
      </c>
      <c r="C7" s="68" t="n">
        <f aca="false">DCF!B48</f>
        <v>336.683667848478</v>
      </c>
      <c r="D7" s="56" t="n">
        <f aca="false">MAX(Sensitivity!C11:E13)</f>
        <v>398.106604286104</v>
      </c>
    </row>
    <row r="8" customFormat="false" ht="15" hidden="false" customHeight="false" outlineLevel="0" collapsed="false">
      <c r="A8" s="6" t="s">
        <v>468</v>
      </c>
      <c r="B8" s="68" t="n">
        <f aca="false">Comps!C37</f>
        <v>208.422465418063</v>
      </c>
      <c r="C8" s="68" t="n">
        <f aca="false">Comps!D37</f>
        <v>240.101849825571</v>
      </c>
      <c r="D8" s="68" t="n">
        <f aca="false">Comps!E37</f>
        <v>359.34629792755</v>
      </c>
    </row>
    <row r="9" customFormat="false" ht="15" hidden="false" customHeight="false" outlineLevel="0" collapsed="false">
      <c r="A9" s="6" t="s">
        <v>469</v>
      </c>
      <c r="B9" s="68" t="n">
        <f aca="false">Comps!C39</f>
        <v>251.54102063944</v>
      </c>
      <c r="C9" s="68" t="n">
        <f aca="false">Comps!D39</f>
        <v>280.404092504339</v>
      </c>
      <c r="D9" s="68" t="n">
        <f aca="false">Comps!E39</f>
        <v>408.151966254981</v>
      </c>
    </row>
    <row r="10" customFormat="false" ht="15" hidden="false" customHeight="false" outlineLevel="0" collapsed="false">
      <c r="A10" s="6" t="s">
        <v>470</v>
      </c>
      <c r="B10" s="68" t="n">
        <f aca="false">Comps!C38</f>
        <v>330.409661486618</v>
      </c>
      <c r="C10" s="68" t="n">
        <f aca="false">Comps!D38</f>
        <v>384.42207834136</v>
      </c>
      <c r="D10" s="68" t="n">
        <f aca="false">Comps!E38</f>
        <v>423.009756092804</v>
      </c>
    </row>
    <row r="11" customFormat="false" ht="15" hidden="false" customHeight="false" outlineLevel="0" collapsed="false">
      <c r="A11" s="6" t="s">
        <v>471</v>
      </c>
      <c r="B11" s="68" t="n">
        <f aca="false">Comps!F37</f>
        <v>452.488830752367</v>
      </c>
      <c r="D11" s="68" t="n">
        <f aca="false">Comps!F39</f>
        <v>547.951826169626</v>
      </c>
    </row>
    <row r="13" customFormat="false" ht="15" hidden="false" customHeight="false" outlineLevel="0" collapsed="false">
      <c r="A13" s="12" t="s">
        <v>472</v>
      </c>
      <c r="C13" s="69" t="n">
        <f aca="false">DCF!B49</f>
        <v>979.88</v>
      </c>
    </row>
    <row r="14" customFormat="false" ht="15" hidden="false" customHeight="false" outlineLevel="0" collapsed="false">
      <c r="A14" s="12" t="s">
        <v>473</v>
      </c>
      <c r="C14" s="70" t="n">
        <f aca="false">Sensitivity!B42</f>
        <v>334.24825</v>
      </c>
    </row>
    <row r="15" customFormat="false" ht="15" hidden="false" customHeight="false" outlineLevel="0" collapsed="false">
      <c r="A15" s="12" t="s">
        <v>474</v>
      </c>
      <c r="C15" s="71" t="n">
        <f aca="false">DCF!B50</f>
        <v>-0.656403163807326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475</v>
      </c>
    </row>
    <row r="5" customFormat="false" ht="15" hidden="false" customHeight="false" outlineLevel="0" collapsed="false">
      <c r="A5" s="16" t="s">
        <v>476</v>
      </c>
      <c r="B5" s="17" t="s">
        <v>477</v>
      </c>
      <c r="C5" s="17" t="s">
        <v>478</v>
      </c>
      <c r="D5" s="17" t="s">
        <v>479</v>
      </c>
      <c r="E5" s="17" t="s">
        <v>480</v>
      </c>
    </row>
    <row r="6" customFormat="false" ht="15" hidden="false" customHeight="false" outlineLevel="0" collapsed="false">
      <c r="A6" s="6" t="s">
        <v>481</v>
      </c>
      <c r="B6" s="72" t="n">
        <f aca="false">SUMPRODUCT(ABS(Forecast!C54:H54))</f>
        <v>0</v>
      </c>
      <c r="C6" s="73" t="n">
        <v>0</v>
      </c>
      <c r="D6" s="72" t="n">
        <f aca="false">B6-C6</f>
        <v>0</v>
      </c>
      <c r="E6" s="12" t="str">
        <f aca="false">IF(ABS(D6)&lt;=0.01,"OK","CHECK")</f>
        <v>OK</v>
      </c>
    </row>
    <row r="7" customFormat="false" ht="15" hidden="false" customHeight="false" outlineLevel="0" collapsed="false">
      <c r="A7" s="6" t="s">
        <v>482</v>
      </c>
      <c r="B7" s="72" t="n">
        <f aca="false">SUMPRODUCT(ABS(Forecast!D33:H33-Forecast!C33:G33-Forecast!D67:H67))</f>
        <v>0</v>
      </c>
      <c r="C7" s="73" t="n">
        <v>0</v>
      </c>
      <c r="D7" s="72" t="n">
        <f aca="false">B7-C7</f>
        <v>0</v>
      </c>
      <c r="E7" s="12" t="str">
        <f aca="false">IF(ABS(D7)&lt;=0.01,"OK","CHECK")</f>
        <v>OK</v>
      </c>
    </row>
    <row r="8" customFormat="false" ht="15" hidden="false" customHeight="false" outlineLevel="0" collapsed="false">
      <c r="A8" s="6" t="s">
        <v>483</v>
      </c>
      <c r="B8" s="74" t="n">
        <f aca="false">Forecast!C18</f>
        <v>254453</v>
      </c>
      <c r="C8" s="73" t="n">
        <v>254453</v>
      </c>
      <c r="D8" s="72" t="n">
        <f aca="false">B8-C8</f>
        <v>0</v>
      </c>
      <c r="E8" s="12" t="str">
        <f aca="false">IF(ABS(D8)&lt;=0.5,"OK","CHECK")</f>
        <v>OK</v>
      </c>
    </row>
    <row r="9" customFormat="false" ht="15" hidden="false" customHeight="false" outlineLevel="0" collapsed="false">
      <c r="A9" s="6" t="s">
        <v>484</v>
      </c>
      <c r="B9" s="74" t="n">
        <f aca="false">Forecast!H18</f>
        <v>349529.396171761</v>
      </c>
      <c r="C9" s="73" t="n">
        <v>349529</v>
      </c>
      <c r="D9" s="72" t="n">
        <f aca="false">B9-C9</f>
        <v>0.396171761443839</v>
      </c>
      <c r="E9" s="12" t="str">
        <f aca="false">IF(ABS(D9)&lt;=0.5,"OK","CHECK")</f>
        <v>OK</v>
      </c>
    </row>
    <row r="10" customFormat="false" ht="15" hidden="false" customHeight="false" outlineLevel="0" collapsed="false">
      <c r="A10" s="6" t="s">
        <v>485</v>
      </c>
      <c r="B10" s="74" t="n">
        <f aca="false">Forecast!H21</f>
        <v>13165.2184775278</v>
      </c>
      <c r="C10" s="73" t="n">
        <v>13165.2</v>
      </c>
      <c r="D10" s="72" t="n">
        <f aca="false">B10-C10</f>
        <v>0.018477527792129</v>
      </c>
      <c r="E10" s="12" t="str">
        <f aca="false">IF(ABS(D10)&lt;=0.5,"OK","CHECK")</f>
        <v>OK</v>
      </c>
    </row>
    <row r="11" customFormat="false" ht="15" hidden="false" customHeight="false" outlineLevel="0" collapsed="false">
      <c r="A11" s="6" t="s">
        <v>486</v>
      </c>
      <c r="B11" s="74" t="n">
        <f aca="false">Forecast!D28</f>
        <v>17.311727660276</v>
      </c>
      <c r="C11" s="73" t="n">
        <v>17.3117</v>
      </c>
      <c r="D11" s="72" t="n">
        <f aca="false">B11-C11</f>
        <v>2.76602760287403E-005</v>
      </c>
      <c r="E11" s="12" t="str">
        <f aca="false">IF(ABS(D11)&lt;=0.005,"OK","CHECK")</f>
        <v>OK</v>
      </c>
    </row>
    <row r="12" customFormat="false" ht="15" hidden="false" customHeight="false" outlineLevel="0" collapsed="false">
      <c r="A12" s="6" t="s">
        <v>318</v>
      </c>
      <c r="B12" s="74" t="n">
        <f aca="false">Beta!H6</f>
        <v>0.842625691296611</v>
      </c>
      <c r="C12" s="73" t="n">
        <v>0.842625691296612</v>
      </c>
      <c r="D12" s="72" t="n">
        <f aca="false">B12-C12</f>
        <v>0</v>
      </c>
      <c r="E12" s="12" t="str">
        <f aca="false">IF(ABS(D12)&lt;=0.0005,"OK","CHECK")</f>
        <v>OK</v>
      </c>
    </row>
    <row r="13" customFormat="false" ht="15" hidden="false" customHeight="false" outlineLevel="0" collapsed="false">
      <c r="A13" s="6" t="s">
        <v>5</v>
      </c>
      <c r="B13" s="74" t="n">
        <f aca="false">WACC!B27</f>
        <v>0.0838248058531887</v>
      </c>
      <c r="C13" s="73" t="n">
        <v>0.0838248058531887</v>
      </c>
      <c r="D13" s="72" t="n">
        <f aca="false">B13-C13</f>
        <v>0</v>
      </c>
      <c r="E13" s="12" t="str">
        <f aca="false">IF(ABS(D13)&lt;=0.00005,"OK","CHECK")</f>
        <v>OK</v>
      </c>
    </row>
    <row r="14" customFormat="false" ht="15" hidden="false" customHeight="false" outlineLevel="0" collapsed="false">
      <c r="A14" s="6" t="s">
        <v>7</v>
      </c>
      <c r="B14" s="74" t="n">
        <f aca="false">DCF!B40</f>
        <v>145270.525057462</v>
      </c>
      <c r="C14" s="73" t="n">
        <v>145270.525057462</v>
      </c>
      <c r="D14" s="72" t="n">
        <f aca="false">B14-C14</f>
        <v>0</v>
      </c>
      <c r="E14" s="12" t="str">
        <f aca="false">IF(ABS(D14)&lt;=1,"OK","CHECK")</f>
        <v>OK</v>
      </c>
    </row>
    <row r="15" customFormat="false" ht="15" hidden="false" customHeight="false" outlineLevel="0" collapsed="false">
      <c r="A15" s="6" t="s">
        <v>382</v>
      </c>
      <c r="B15" s="74" t="n">
        <f aca="false">DCF!B48</f>
        <v>336.683667848478</v>
      </c>
      <c r="C15" s="73" t="n">
        <v>336.683667848477</v>
      </c>
      <c r="D15" s="72" t="n">
        <f aca="false">B15-C15</f>
        <v>0</v>
      </c>
      <c r="E15" s="12" t="str">
        <f aca="false">IF(ABS(D15)&lt;=0.05,"OK","CHECK")</f>
        <v>OK</v>
      </c>
    </row>
    <row r="16" customFormat="false" ht="15" hidden="false" customHeight="false" outlineLevel="0" collapsed="false">
      <c r="A16" s="6" t="s">
        <v>374</v>
      </c>
      <c r="B16" s="74" t="n">
        <f aca="false">DCF!B41</f>
        <v>0.812681837877533</v>
      </c>
      <c r="C16" s="73" t="n">
        <v>0.812681837877533</v>
      </c>
      <c r="D16" s="72" t="n">
        <f aca="false">B16-C16</f>
        <v>0</v>
      </c>
      <c r="E16" s="12" t="str">
        <f aca="false">IF(ABS(D16)&lt;=0.0005,"OK","CHECK")</f>
        <v>OK</v>
      </c>
    </row>
    <row r="17" customFormat="false" ht="15" hidden="false" customHeight="false" outlineLevel="0" collapsed="false">
      <c r="A17" s="6" t="s">
        <v>487</v>
      </c>
      <c r="B17" s="74" t="n">
        <f aca="false">Sensitivity!D12</f>
        <v>336.683667848478</v>
      </c>
      <c r="C17" s="73" t="n">
        <v>336.683667848477</v>
      </c>
      <c r="D17" s="72" t="n">
        <f aca="false">B17-C17</f>
        <v>0</v>
      </c>
      <c r="E17" s="12" t="str">
        <f aca="false">IF(ABS(D17)&lt;=0.05,"OK","CHECK")</f>
        <v>OK</v>
      </c>
    </row>
    <row r="18" customFormat="false" ht="15" hidden="false" customHeight="false" outlineLevel="0" collapsed="false">
      <c r="A18" s="6" t="s">
        <v>488</v>
      </c>
      <c r="B18" s="74" t="n">
        <f aca="false">Comps!G31</f>
        <v>36.5402556760886</v>
      </c>
      <c r="C18" s="73" t="n">
        <v>36.5402</v>
      </c>
      <c r="D18" s="72" t="n">
        <f aca="false">B18-C18</f>
        <v>5.5676088621226E-005</v>
      </c>
      <c r="E18" s="12" t="str">
        <f aca="false">IF(ABS(D18)&lt;=0.005,"OK","CHECK")</f>
        <v>OK</v>
      </c>
    </row>
    <row r="19" customFormat="false" ht="15" hidden="false" customHeight="false" outlineLevel="0" collapsed="false">
      <c r="A19" s="6" t="s">
        <v>489</v>
      </c>
      <c r="B19" s="74" t="n">
        <f aca="false">Comps!D31</f>
        <v>8.66598514860548</v>
      </c>
      <c r="C19" s="73" t="n">
        <v>8.66598</v>
      </c>
      <c r="D19" s="72" t="n">
        <f aca="false">B19-C19</f>
        <v>5.14860547973228E-006</v>
      </c>
      <c r="E19" s="12" t="str">
        <f aca="false">IF(ABS(D19)&lt;=0.005,"OK","CHECK")</f>
        <v>OK</v>
      </c>
    </row>
    <row r="20" customFormat="false" ht="15" hidden="false" customHeight="false" outlineLevel="0" collapsed="false">
      <c r="A20" s="6" t="s">
        <v>490</v>
      </c>
      <c r="B20" s="74" t="n">
        <f aca="false">Assumptions!C5</f>
        <v>2</v>
      </c>
      <c r="C20" s="73" t="n">
        <v>2</v>
      </c>
      <c r="D20" s="72" t="n">
        <f aca="false">B20-C20</f>
        <v>0</v>
      </c>
      <c r="E20" s="12" t="str">
        <f aca="false">IF(ABS(D20)&lt;=0,"OK","CHECK")</f>
        <v>OK</v>
      </c>
    </row>
    <row r="22" customFormat="false" ht="15" hidden="false" customHeight="false" outlineLevel="0" collapsed="false">
      <c r="A22" s="12" t="s">
        <v>491</v>
      </c>
      <c r="E22" s="75" t="str">
        <f aca="false">IF(COUNTIF(E6:E20,"OK")=15,"ALL OK","REVIEW")</f>
        <v>ALL 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2026-09-23T20:58:08Z</dcterms:created>
  <dc:creator>openpyxl</dc:creator>
  <dc:description/>
  <dc:language>en-US</dc:language>
  <cp:lastModifiedBy/>
  <dcterms:modified xsi:type="dcterms:W3CDTF">2026-09-23T20:58:10Z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